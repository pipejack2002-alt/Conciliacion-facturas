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01-Contabilidad_Andres\03-Movimientos\07-NC\"/>
    </mc:Choice>
  </mc:AlternateContent>
  <bookViews>
    <workbookView xWindow="0" yWindow="0" windowWidth="18870" windowHeight="9885"/>
  </bookViews>
  <sheets>
    <sheet name="Hoja1" sheetId="1" r:id="rId1"/>
  </sheets>
  <calcPr calcId="162913"/>
</workbook>
</file>

<file path=xl/calcChain.xml><?xml version="1.0" encoding="utf-8"?>
<calcChain xmlns="http://schemas.openxmlformats.org/spreadsheetml/2006/main">
  <c r="N503" i="1" l="1"/>
  <c r="M503" i="1"/>
  <c r="N502" i="1"/>
  <c r="M502" i="1"/>
  <c r="N500" i="1"/>
  <c r="M500" i="1"/>
  <c r="N492" i="1"/>
  <c r="M492" i="1"/>
  <c r="N490" i="1"/>
  <c r="M490" i="1"/>
  <c r="N487" i="1"/>
  <c r="M487" i="1"/>
  <c r="N485" i="1"/>
  <c r="M485" i="1"/>
  <c r="N480" i="1"/>
  <c r="M480" i="1"/>
  <c r="N476" i="1"/>
  <c r="M476" i="1"/>
  <c r="N474" i="1"/>
  <c r="M474" i="1"/>
  <c r="N472" i="1"/>
  <c r="M472" i="1"/>
  <c r="N470" i="1"/>
  <c r="M470" i="1"/>
  <c r="N468" i="1"/>
  <c r="M468" i="1"/>
  <c r="N466" i="1"/>
  <c r="M466" i="1"/>
  <c r="N464" i="1"/>
  <c r="M464" i="1"/>
  <c r="N462" i="1"/>
  <c r="M462" i="1"/>
  <c r="N457" i="1"/>
  <c r="M457" i="1"/>
  <c r="N455" i="1"/>
  <c r="M455" i="1"/>
  <c r="N453" i="1"/>
  <c r="M453" i="1"/>
  <c r="N451" i="1"/>
  <c r="M451" i="1"/>
  <c r="N449" i="1"/>
  <c r="M449" i="1"/>
  <c r="N446" i="1"/>
  <c r="M446" i="1"/>
  <c r="N444" i="1"/>
  <c r="M444" i="1"/>
  <c r="N442" i="1"/>
  <c r="M442" i="1"/>
  <c r="N440" i="1"/>
  <c r="M440" i="1"/>
  <c r="N438" i="1"/>
  <c r="M438" i="1"/>
  <c r="N436" i="1"/>
  <c r="M436" i="1"/>
  <c r="N434" i="1"/>
  <c r="M434" i="1"/>
  <c r="N432" i="1"/>
  <c r="M432" i="1"/>
  <c r="N430" i="1"/>
  <c r="M430" i="1"/>
  <c r="N428" i="1"/>
  <c r="M428" i="1"/>
  <c r="N426" i="1"/>
  <c r="M426" i="1"/>
  <c r="N424" i="1"/>
  <c r="M424" i="1"/>
  <c r="N419" i="1"/>
  <c r="M419" i="1"/>
  <c r="N417" i="1"/>
  <c r="M417" i="1"/>
  <c r="N415" i="1"/>
  <c r="M415" i="1"/>
  <c r="N410" i="1"/>
  <c r="M410" i="1"/>
  <c r="N402" i="1"/>
  <c r="M402" i="1"/>
  <c r="N400" i="1"/>
  <c r="M400" i="1"/>
  <c r="N398" i="1"/>
  <c r="M398" i="1"/>
  <c r="N396" i="1"/>
  <c r="M396" i="1"/>
  <c r="N394" i="1"/>
  <c r="M394" i="1"/>
  <c r="N392" i="1"/>
  <c r="M392" i="1"/>
  <c r="N390" i="1"/>
  <c r="M390" i="1"/>
  <c r="N388" i="1"/>
  <c r="M388" i="1"/>
  <c r="N386" i="1"/>
  <c r="M386" i="1"/>
  <c r="N384" i="1"/>
  <c r="M384" i="1"/>
  <c r="N382" i="1"/>
  <c r="M382" i="1"/>
  <c r="N380" i="1"/>
  <c r="M380" i="1"/>
  <c r="N378" i="1"/>
  <c r="M378" i="1"/>
  <c r="N376" i="1"/>
  <c r="M376" i="1"/>
  <c r="N374" i="1"/>
  <c r="M374" i="1"/>
  <c r="N372" i="1"/>
  <c r="M372" i="1"/>
  <c r="N370" i="1"/>
  <c r="M370" i="1"/>
  <c r="N368" i="1"/>
  <c r="M368" i="1"/>
  <c r="N366" i="1"/>
  <c r="M366" i="1"/>
  <c r="N364" i="1"/>
  <c r="M364" i="1"/>
  <c r="N362" i="1"/>
  <c r="M362" i="1"/>
  <c r="N360" i="1"/>
  <c r="M360" i="1"/>
  <c r="N358" i="1"/>
  <c r="M358" i="1"/>
  <c r="N356" i="1"/>
  <c r="M356" i="1"/>
  <c r="N354" i="1"/>
  <c r="M354" i="1"/>
  <c r="N352" i="1"/>
  <c r="M352" i="1"/>
  <c r="N350" i="1"/>
  <c r="M350" i="1"/>
  <c r="N348" i="1"/>
  <c r="M348" i="1"/>
  <c r="N346" i="1"/>
  <c r="M346" i="1"/>
  <c r="N344" i="1"/>
  <c r="M344" i="1"/>
  <c r="N342" i="1"/>
  <c r="M342" i="1"/>
  <c r="N340" i="1"/>
  <c r="M340" i="1"/>
  <c r="N338" i="1"/>
  <c r="M338" i="1"/>
  <c r="N336" i="1"/>
  <c r="M336" i="1"/>
  <c r="N334" i="1"/>
  <c r="M334" i="1"/>
  <c r="N332" i="1"/>
  <c r="M332" i="1"/>
  <c r="N330" i="1"/>
  <c r="M330" i="1"/>
  <c r="N328" i="1"/>
  <c r="M328" i="1"/>
  <c r="N326" i="1"/>
  <c r="M326" i="1"/>
  <c r="N324" i="1"/>
  <c r="M324" i="1"/>
  <c r="N322" i="1"/>
  <c r="M322" i="1"/>
  <c r="N320" i="1"/>
  <c r="M320" i="1"/>
  <c r="N318" i="1"/>
  <c r="M318" i="1"/>
  <c r="N316" i="1"/>
  <c r="M316" i="1"/>
  <c r="N314" i="1"/>
  <c r="M314" i="1"/>
  <c r="N312" i="1"/>
  <c r="M312" i="1"/>
  <c r="N310" i="1"/>
  <c r="M310" i="1"/>
  <c r="N308" i="1"/>
  <c r="M308" i="1"/>
  <c r="N306" i="1"/>
  <c r="M306" i="1"/>
  <c r="N304" i="1"/>
  <c r="M304" i="1"/>
  <c r="N302" i="1"/>
  <c r="M302" i="1"/>
  <c r="N300" i="1"/>
  <c r="M300" i="1"/>
  <c r="N298" i="1"/>
  <c r="M298" i="1"/>
  <c r="N296" i="1"/>
  <c r="M296" i="1"/>
  <c r="N294" i="1"/>
  <c r="M294" i="1"/>
  <c r="N292" i="1"/>
  <c r="M292" i="1"/>
  <c r="N290" i="1"/>
  <c r="M290" i="1"/>
  <c r="N288" i="1"/>
  <c r="M288" i="1"/>
  <c r="N286" i="1"/>
  <c r="M286" i="1"/>
  <c r="N284" i="1"/>
  <c r="M284" i="1"/>
  <c r="N282" i="1"/>
  <c r="M282" i="1"/>
  <c r="N280" i="1"/>
  <c r="M280" i="1"/>
  <c r="N278" i="1"/>
  <c r="M278" i="1"/>
  <c r="N274" i="1"/>
  <c r="M274" i="1"/>
  <c r="N272" i="1"/>
  <c r="M272" i="1"/>
  <c r="N270" i="1"/>
  <c r="M270" i="1"/>
  <c r="N268" i="1"/>
  <c r="M268" i="1"/>
  <c r="N262" i="1"/>
  <c r="M262" i="1"/>
  <c r="N255" i="1"/>
  <c r="M255" i="1"/>
  <c r="N253" i="1"/>
  <c r="M253" i="1"/>
  <c r="N247" i="1"/>
  <c r="M247" i="1"/>
  <c r="N245" i="1"/>
  <c r="M245" i="1"/>
  <c r="N243" i="1"/>
  <c r="M243" i="1"/>
  <c r="N241" i="1"/>
  <c r="M241" i="1"/>
  <c r="N239" i="1"/>
  <c r="M239" i="1"/>
  <c r="N237" i="1"/>
  <c r="M237" i="1"/>
  <c r="N235" i="1"/>
  <c r="M235" i="1"/>
  <c r="N233" i="1"/>
  <c r="M233" i="1"/>
  <c r="N224" i="1"/>
  <c r="M224" i="1"/>
  <c r="N221" i="1"/>
  <c r="M221" i="1"/>
  <c r="N219" i="1"/>
  <c r="M219" i="1"/>
  <c r="N217" i="1"/>
  <c r="M217" i="1"/>
  <c r="N215" i="1"/>
  <c r="M215" i="1"/>
  <c r="N213" i="1"/>
  <c r="M213" i="1"/>
  <c r="N208" i="1"/>
  <c r="M208" i="1"/>
  <c r="N206" i="1"/>
  <c r="M206" i="1"/>
  <c r="N204" i="1"/>
  <c r="M204" i="1"/>
  <c r="N202" i="1"/>
  <c r="M202" i="1"/>
  <c r="N200" i="1"/>
  <c r="M200" i="1"/>
  <c r="N198" i="1"/>
  <c r="M198" i="1"/>
  <c r="N192" i="1"/>
  <c r="M192" i="1"/>
  <c r="N188" i="1"/>
  <c r="M188" i="1"/>
  <c r="N186" i="1"/>
  <c r="M186" i="1"/>
  <c r="N184" i="1"/>
  <c r="M184" i="1"/>
  <c r="N182" i="1"/>
  <c r="M182" i="1"/>
  <c r="N179" i="1"/>
  <c r="M179" i="1"/>
  <c r="N177" i="1"/>
  <c r="M177" i="1"/>
  <c r="N175" i="1"/>
  <c r="M175" i="1"/>
  <c r="N173" i="1"/>
  <c r="M173" i="1"/>
  <c r="N171" i="1"/>
  <c r="M171" i="1"/>
  <c r="N169" i="1"/>
  <c r="M169" i="1"/>
  <c r="N167" i="1"/>
  <c r="M167" i="1"/>
  <c r="N165" i="1"/>
  <c r="M165" i="1"/>
  <c r="N125" i="1"/>
  <c r="M125" i="1"/>
  <c r="N123" i="1"/>
  <c r="M123" i="1"/>
  <c r="N121" i="1"/>
  <c r="M121" i="1"/>
  <c r="N119" i="1"/>
  <c r="M119" i="1"/>
  <c r="N117" i="1"/>
  <c r="M117" i="1"/>
  <c r="N115" i="1"/>
  <c r="M115" i="1"/>
  <c r="N113" i="1"/>
  <c r="M113" i="1"/>
  <c r="N111" i="1"/>
  <c r="M111" i="1"/>
  <c r="N109" i="1"/>
  <c r="M109" i="1"/>
  <c r="N107" i="1"/>
  <c r="M107" i="1"/>
  <c r="N105" i="1"/>
  <c r="M105" i="1"/>
  <c r="N103" i="1"/>
  <c r="M103" i="1"/>
  <c r="N101" i="1"/>
  <c r="M101" i="1"/>
  <c r="N99" i="1"/>
  <c r="M99" i="1"/>
  <c r="N97" i="1"/>
  <c r="M97" i="1"/>
  <c r="N95" i="1"/>
  <c r="M95" i="1"/>
  <c r="N93" i="1"/>
  <c r="M93" i="1"/>
  <c r="N91" i="1"/>
  <c r="M91" i="1"/>
  <c r="N89" i="1"/>
  <c r="M89" i="1"/>
  <c r="N87" i="1"/>
  <c r="M87" i="1"/>
  <c r="N85" i="1"/>
  <c r="M85" i="1"/>
  <c r="N83" i="1"/>
  <c r="M83" i="1"/>
  <c r="N81" i="1"/>
  <c r="M81" i="1"/>
  <c r="N79" i="1"/>
  <c r="M79" i="1"/>
  <c r="N77" i="1"/>
  <c r="M77" i="1"/>
  <c r="N75" i="1"/>
  <c r="M75" i="1"/>
  <c r="N73" i="1"/>
  <c r="M73" i="1"/>
  <c r="N71" i="1"/>
  <c r="M71" i="1"/>
  <c r="N69" i="1"/>
  <c r="M69" i="1"/>
  <c r="N67" i="1"/>
  <c r="M67" i="1"/>
  <c r="N65" i="1"/>
  <c r="M65" i="1"/>
  <c r="N63" i="1"/>
  <c r="M63" i="1"/>
  <c r="N61" i="1"/>
  <c r="M61" i="1"/>
  <c r="N59" i="1"/>
  <c r="M59" i="1"/>
  <c r="N57" i="1"/>
  <c r="M57" i="1"/>
  <c r="N55" i="1"/>
  <c r="M55" i="1"/>
  <c r="N53" i="1"/>
  <c r="M53" i="1"/>
  <c r="N51" i="1"/>
  <c r="M51" i="1"/>
  <c r="N49" i="1"/>
  <c r="M49" i="1"/>
  <c r="N47" i="1"/>
  <c r="M47" i="1"/>
  <c r="N45" i="1"/>
  <c r="M45" i="1"/>
  <c r="N43" i="1"/>
  <c r="M43" i="1"/>
  <c r="N41" i="1"/>
  <c r="M41" i="1"/>
  <c r="N39" i="1"/>
  <c r="M39" i="1"/>
  <c r="N37" i="1"/>
  <c r="M37" i="1"/>
  <c r="N35" i="1"/>
  <c r="M35" i="1"/>
  <c r="N33" i="1"/>
  <c r="M33" i="1"/>
  <c r="N19" i="1"/>
  <c r="M19" i="1"/>
  <c r="N17" i="1"/>
  <c r="M17" i="1"/>
  <c r="N15" i="1"/>
  <c r="M15" i="1"/>
  <c r="N13" i="1"/>
  <c r="M13" i="1"/>
  <c r="N11" i="1"/>
  <c r="M11" i="1"/>
  <c r="N9" i="1"/>
  <c r="M9" i="1"/>
</calcChain>
</file>

<file path=xl/sharedStrings.xml><?xml version="1.0" encoding="utf-8"?>
<sst xmlns="http://schemas.openxmlformats.org/spreadsheetml/2006/main" count="3882" uniqueCount="1074">
  <si>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</si>
  <si>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</si>
  <si>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</si>
  <si>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</si>
  <si>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</si>
  <si>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</si>
  <si>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          </t>
  </si>
  <si>
    <t xml:space="preserve">NOMBRE                                                                                                                        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</si>
  <si>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</si>
  <si>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</si>
  <si>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</si>
  <si>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</si>
  <si>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</si>
  <si>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</si>
  <si>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</si>
  <si>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11051007   CAJA MENOR LA JAGUA DE IBIRICO                    </t>
  </si>
  <si>
    <t xml:space="preserve">11051007   </t>
  </si>
  <si>
    <t xml:space="preserve">CAJA MENOR LA JAGUA DE IBIRICO                    </t>
  </si>
  <si>
    <t xml:space="preserve">                     </t>
  </si>
  <si>
    <t>0000/00/00</t>
  </si>
  <si>
    <t xml:space="preserve">             </t>
  </si>
  <si>
    <t xml:space="preserve">                                                                                                                                                      </t>
  </si>
  <si>
    <t xml:space="preserve">                                                  </t>
  </si>
  <si>
    <t xml:space="preserve">                                                                                        </t>
  </si>
  <si>
    <t xml:space="preserve">                </t>
  </si>
  <si>
    <t xml:space="preserve">        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</si>
  <si>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</si>
  <si>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</si>
  <si>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11100501   BANCO DE BOGOTA                                   </t>
  </si>
  <si>
    <t xml:space="preserve">11100501   </t>
  </si>
  <si>
    <t xml:space="preserve">BANCO DE BOGOTA                                   </t>
  </si>
  <si>
    <t xml:space="preserve">11100502   BANCO COLPATRIA CTA CTE                           </t>
  </si>
  <si>
    <t xml:space="preserve">11100502   </t>
  </si>
  <si>
    <t xml:space="preserve">BANCO COLPATRIA CTA CTE                           </t>
  </si>
  <si>
    <t xml:space="preserve">11150501   MONEDA NACIONAL                                   </t>
  </si>
  <si>
    <t xml:space="preserve">11150501   </t>
  </si>
  <si>
    <t xml:space="preserve">MONEDA NACIONAL                                   </t>
  </si>
  <si>
    <t>0 000 00000000000 000</t>
  </si>
  <si>
    <t xml:space="preserve">11250501   ROTATORIOS MONEDA NACIONAL                        </t>
  </si>
  <si>
    <t xml:space="preserve">11250501   </t>
  </si>
  <si>
    <t xml:space="preserve">ROTATORIOS MONEDA NACIONAL                        </t>
  </si>
  <si>
    <t xml:space="preserve">12050601   ACCIONES                                          </t>
  </si>
  <si>
    <t xml:space="preserve">12050601   </t>
  </si>
  <si>
    <t xml:space="preserve">ACCIONES                                          </t>
  </si>
  <si>
    <t xml:space="preserve">12503528   CORREVAL - FONVAL TESORERIA                       </t>
  </si>
  <si>
    <t xml:space="preserve">12503528   </t>
  </si>
  <si>
    <t xml:space="preserve">CORREVAL - FONVAL TESORERIA                       </t>
  </si>
  <si>
    <t>L 001 00000000022 002</t>
  </si>
  <si>
    <t>G 001 00000000662 002</t>
  </si>
  <si>
    <t xml:space="preserve">CORPORACION AUTONOMA REGIONAL DEL CESAR           </t>
  </si>
  <si>
    <t>G 001 00000000663 002</t>
  </si>
  <si>
    <t xml:space="preserve">EDUAR ALFONSO VILLA MARQUEZ                       </t>
  </si>
  <si>
    <t>G 001 00000000664 002</t>
  </si>
  <si>
    <t xml:space="preserve">MUNICIPIO DE LA JAGUA DE IBIRICO                  </t>
  </si>
  <si>
    <t>G 001 00000000665 002</t>
  </si>
  <si>
    <t xml:space="preserve">FIDUCIARIA LA PREVISORA S.A.                      </t>
  </si>
  <si>
    <t>G 001 00000000666 002</t>
  </si>
  <si>
    <t xml:space="preserve">DIDIER ALEXANDER CALDERON TOSCANO                 </t>
  </si>
  <si>
    <t>G 001 00000000667 002</t>
  </si>
  <si>
    <t>R 001 00000000175 002</t>
  </si>
  <si>
    <t xml:space="preserve">CI CARBONES DE SANTANDER S.A.S.                   </t>
  </si>
  <si>
    <t>G 001 00000000668 002</t>
  </si>
  <si>
    <t xml:space="preserve">CONSULTORIA &amp; AUDITORIA OUTSOURCING SAS           </t>
  </si>
  <si>
    <t>G 001 00000000669 002</t>
  </si>
  <si>
    <t xml:space="preserve">CONTROL FINANCIERO OUTSOURCING - CFO SAS          </t>
  </si>
  <si>
    <t>G 001 00000000670 002</t>
  </si>
  <si>
    <t xml:space="preserve">BAÑO MOVIL DE COLOMBIA S.A. BAMOCOL S.A.          </t>
  </si>
  <si>
    <t>R 001 00000000176 002</t>
  </si>
  <si>
    <t>R 001 00000000177 002</t>
  </si>
  <si>
    <t xml:space="preserve">13050501   NACIONALES                                        </t>
  </si>
  <si>
    <t xml:space="preserve">13050501   </t>
  </si>
  <si>
    <t xml:space="preserve">NACIONALES                                        </t>
  </si>
  <si>
    <t xml:space="preserve">13051001   DEL EXTERIOR                                      </t>
  </si>
  <si>
    <t xml:space="preserve">13051001   </t>
  </si>
  <si>
    <t xml:space="preserve">DEL EXTERIOR                                      </t>
  </si>
  <si>
    <t xml:space="preserve">13251001   A ACCIONISTAS                                     </t>
  </si>
  <si>
    <t xml:space="preserve">13251001   </t>
  </si>
  <si>
    <t xml:space="preserve">A ACCIONISTAS                                     </t>
  </si>
  <si>
    <t xml:space="preserve">13300508   ANTICIPOS PARA COSTOS INCURRIDOS EN PROYECTOS     </t>
  </si>
  <si>
    <t xml:space="preserve">13300508   </t>
  </si>
  <si>
    <t xml:space="preserve">ANTICIPOS PARA COSTOS INCURRIDOS EN PROYECTOS     </t>
  </si>
  <si>
    <t xml:space="preserve">13300509   ANTICIPOS PARA GASTOS INCURRIDOS EN OFICINA       </t>
  </si>
  <si>
    <t xml:space="preserve">13300509   </t>
  </si>
  <si>
    <t xml:space="preserve">ANTICIPOS PARA GASTOS INCURRIDOS EN OFICINA       </t>
  </si>
  <si>
    <t xml:space="preserve">13300597   ANTICIPOS Y AVANCES IFRS                          </t>
  </si>
  <si>
    <t xml:space="preserve">13300597   </t>
  </si>
  <si>
    <t xml:space="preserve">ANTICIPOS Y AVANCES IFRS                          </t>
  </si>
  <si>
    <t xml:space="preserve">13459597   OTROS IFRS                                        </t>
  </si>
  <si>
    <t xml:space="preserve">13459597   </t>
  </si>
  <si>
    <t xml:space="preserve">OTROS IFRS                                        </t>
  </si>
  <si>
    <t xml:space="preserve">13551501   SERVICIOS PERSONAS JURIDICAS 4%                   </t>
  </si>
  <si>
    <t xml:space="preserve">13551501   </t>
  </si>
  <si>
    <t xml:space="preserve">SERVICIOS PERSONAS JURIDICAS 4%                   </t>
  </si>
  <si>
    <t xml:space="preserve">13551504   RENDIMIENTOS FINANCIEROS                          </t>
  </si>
  <si>
    <t xml:space="preserve">13551504   </t>
  </si>
  <si>
    <t xml:space="preserve">RENDIMIENTOS FINANCIEROS                          </t>
  </si>
  <si>
    <t xml:space="preserve">13551597   RETENCION EN LA FUENTE IFRS                       </t>
  </si>
  <si>
    <t xml:space="preserve">13551597   </t>
  </si>
  <si>
    <t xml:space="preserve">RETENCION EN LA FUENTE IFRS                       </t>
  </si>
  <si>
    <t xml:space="preserve">13551802   IMP DE IND Y COM RET LA JAGUA                     </t>
  </si>
  <si>
    <t xml:space="preserve">13551802   </t>
  </si>
  <si>
    <t xml:space="preserve">IMP DE IND Y COM RET LA JAGUA                     </t>
  </si>
  <si>
    <t xml:space="preserve">13552001   SOBRAN LIQUID PRIV  IMPUESTO                      </t>
  </si>
  <si>
    <t xml:space="preserve">13552001   </t>
  </si>
  <si>
    <t xml:space="preserve">SOBRAN LIQUID PRIV  IMPUESTO                      </t>
  </si>
  <si>
    <t xml:space="preserve">13552003   SOBRAN LIQUID PRIV IMP IVA                        </t>
  </si>
  <si>
    <t xml:space="preserve">13552003   </t>
  </si>
  <si>
    <t xml:space="preserve">SOBRAN LIQUID PRIV IMP IVA                        </t>
  </si>
  <si>
    <t xml:space="preserve">13552005   SOBRAN LIQUID PRIV  IMP ICA                       </t>
  </si>
  <si>
    <t xml:space="preserve">13552005   </t>
  </si>
  <si>
    <t xml:space="preserve">SOBRAN LIQUID PRIV  IMP ICA                       </t>
  </si>
  <si>
    <t xml:space="preserve">13552097   SALDO A FAVOR IFRS                                </t>
  </si>
  <si>
    <t xml:space="preserve">13552097   </t>
  </si>
  <si>
    <t xml:space="preserve">SALDO A FAVOR IFRS                                </t>
  </si>
  <si>
    <t xml:space="preserve">13553001   IMPUESTOS DESCONTABLES                            </t>
  </si>
  <si>
    <t xml:space="preserve">13553001   </t>
  </si>
  <si>
    <t xml:space="preserve">IMPUESTOS DESCONTABLES                            </t>
  </si>
  <si>
    <t xml:space="preserve">13559504   AUTO RETENCION RENTA (ANTES CREE)                 </t>
  </si>
  <si>
    <t xml:space="preserve">13559504   </t>
  </si>
  <si>
    <t xml:space="preserve">AUTO RETENCION RENTA (ANTES CREE)                 </t>
  </si>
  <si>
    <t>L 001 00000000022 004</t>
  </si>
  <si>
    <t xml:space="preserve">CREDICORP CAPITAL COLOMBIA S.A                                                                                                                        </t>
  </si>
  <si>
    <t xml:space="preserve">13559597   OTROS IFRS                                        </t>
  </si>
  <si>
    <t xml:space="preserve">13559597   </t>
  </si>
  <si>
    <t xml:space="preserve">13609501   OTRAS                                             </t>
  </si>
  <si>
    <t xml:space="preserve">13609501   </t>
  </si>
  <si>
    <t xml:space="preserve">OTRAS                                             </t>
  </si>
  <si>
    <t xml:space="preserve">13809502   OTROS EMPRESARIALES                               </t>
  </si>
  <si>
    <t xml:space="preserve">13809502   </t>
  </si>
  <si>
    <t xml:space="preserve">OTROS EMPRESARIALES                               </t>
  </si>
  <si>
    <t xml:space="preserve">13809507   OTROS EMPRESARIALES PERSONAS NATURALES            </t>
  </si>
  <si>
    <t xml:space="preserve">13809507   </t>
  </si>
  <si>
    <t xml:space="preserve">OTROS EMPRESARIALES PERSONAS NATURALES            </t>
  </si>
  <si>
    <t xml:space="preserve">13990501   CLIENTES                                          </t>
  </si>
  <si>
    <t xml:space="preserve">13990501   </t>
  </si>
  <si>
    <t xml:space="preserve">CLIENTES                                          </t>
  </si>
  <si>
    <t xml:space="preserve">14350501   INVENTARIOS                                       </t>
  </si>
  <si>
    <t xml:space="preserve">14350501   </t>
  </si>
  <si>
    <t xml:space="preserve">INVENTARIOS                                       </t>
  </si>
  <si>
    <t xml:space="preserve">14990501   PARA OBSOLECENCIA                                 </t>
  </si>
  <si>
    <t xml:space="preserve">14990501   </t>
  </si>
  <si>
    <t xml:space="preserve">PARA OBSOLECENCIA                                 </t>
  </si>
  <si>
    <t xml:space="preserve">15041001   RURALES                                           </t>
  </si>
  <si>
    <t xml:space="preserve">15041001   </t>
  </si>
  <si>
    <t xml:space="preserve">RURALES                                           </t>
  </si>
  <si>
    <t xml:space="preserve">15160501   EDIFICIOS                                         </t>
  </si>
  <si>
    <t xml:space="preserve">15160501   </t>
  </si>
  <si>
    <t xml:space="preserve">EDIFICIOS                                         </t>
  </si>
  <si>
    <t xml:space="preserve">15201001   MAQUINARIA Y EQUIPO                               </t>
  </si>
  <si>
    <t xml:space="preserve">15201001   </t>
  </si>
  <si>
    <t xml:space="preserve">MAQUINARIA Y EQUIPO                               </t>
  </si>
  <si>
    <t xml:space="preserve">15240501   MUEBLES Y ENSERES                                 </t>
  </si>
  <si>
    <t xml:space="preserve">15240501   </t>
  </si>
  <si>
    <t xml:space="preserve">MUEBLES Y ENSERES                                 </t>
  </si>
  <si>
    <t xml:space="preserve">15280501   EQUIPOS DE PROCESAMIENTO DE DATOS                 </t>
  </si>
  <si>
    <t xml:space="preserve">15280501   </t>
  </si>
  <si>
    <t xml:space="preserve">EQUIPOS DE PROCESAMIENTO DE DATOS                 </t>
  </si>
  <si>
    <t xml:space="preserve">15400501   AUTOS  CAMIONETAS Y CAMPEROS                      </t>
  </si>
  <si>
    <t xml:space="preserve">15400501   </t>
  </si>
  <si>
    <t xml:space="preserve">AUTOS  CAMIONETAS Y CAMPEROS                      </t>
  </si>
  <si>
    <t xml:space="preserve">15681001   VIAS                                              </t>
  </si>
  <si>
    <t xml:space="preserve">15681001   </t>
  </si>
  <si>
    <t xml:space="preserve">VIAS                                              </t>
  </si>
  <si>
    <t xml:space="preserve">15920501   CONSTRUCCIONES Y EDIFICACIONES                    </t>
  </si>
  <si>
    <t xml:space="preserve">15920501   </t>
  </si>
  <si>
    <t xml:space="preserve">CONSTRUCCIONES Y EDIFICACIONES                    </t>
  </si>
  <si>
    <t xml:space="preserve">15921001   MAQUINARIA Y EQUIPO                               </t>
  </si>
  <si>
    <t xml:space="preserve">15921001   </t>
  </si>
  <si>
    <t xml:space="preserve">15921501   EQUIPO DE OFICINA                                 </t>
  </si>
  <si>
    <t xml:space="preserve">15921501   </t>
  </si>
  <si>
    <t xml:space="preserve">EQUIPO DE OFICINA                                 </t>
  </si>
  <si>
    <t xml:space="preserve">15922001   EQUIPO DE COMPUTACION Y COMUNICACION              </t>
  </si>
  <si>
    <t xml:space="preserve">15922001   </t>
  </si>
  <si>
    <t xml:space="preserve">EQUIPO DE COMPUTACION Y COMUNICACION              </t>
  </si>
  <si>
    <t xml:space="preserve">15923501   FLOTA Y EQUIPO DE TRANSPORTE                      </t>
  </si>
  <si>
    <t xml:space="preserve">15923501   </t>
  </si>
  <si>
    <t xml:space="preserve">FLOTA Y EQUIPO DE TRANSPORTE                      </t>
  </si>
  <si>
    <t xml:space="preserve">15971001   VIAS DE COMUNICACION                              </t>
  </si>
  <si>
    <t xml:space="preserve">15971001   </t>
  </si>
  <si>
    <t xml:space="preserve">VIAS DE COMUNICACION                              </t>
  </si>
  <si>
    <t xml:space="preserve">17052001   SEGUROS Y FIANZAS                                 </t>
  </si>
  <si>
    <t xml:space="preserve">17052001   </t>
  </si>
  <si>
    <t xml:space="preserve">SEGUROS Y FIANZAS                                 </t>
  </si>
  <si>
    <t xml:space="preserve">17101201   ESTUDIOS  INVESTIGACIONES Y PROYECTOS             </t>
  </si>
  <si>
    <t xml:space="preserve">17101201   </t>
  </si>
  <si>
    <t xml:space="preserve">ESTUDIOS  INVESTIGACIONES Y PROYECTOS             </t>
  </si>
  <si>
    <t xml:space="preserve">17209501   OTROS                                             </t>
  </si>
  <si>
    <t xml:space="preserve">17209501   </t>
  </si>
  <si>
    <t xml:space="preserve">OTROS                                             </t>
  </si>
  <si>
    <t xml:space="preserve">17959597   ACTIVO POR IMPUESTOS DIFERIDO                     </t>
  </si>
  <si>
    <t xml:space="preserve">17959597   </t>
  </si>
  <si>
    <t xml:space="preserve">ACTIVO POR IMPUESTOS DIFERIDO                     </t>
  </si>
  <si>
    <t xml:space="preserve">17980501   COSTOS DE EXPLORACION POR AMORTIZAR               </t>
  </si>
  <si>
    <t xml:space="preserve">17980501   </t>
  </si>
  <si>
    <t xml:space="preserve">COSTOS DE EXPLORACION POR AMORTIZAR               </t>
  </si>
  <si>
    <t xml:space="preserve">17981001   COSTOS DE EXPLORACION Y DESARROLLO                </t>
  </si>
  <si>
    <t xml:space="preserve">17981001   </t>
  </si>
  <si>
    <t xml:space="preserve">COSTOS DE EXPLORACION Y DESARROLLO                </t>
  </si>
  <si>
    <t xml:space="preserve">17989901   AJUSTES POR INFLACION                             </t>
  </si>
  <si>
    <t xml:space="preserve">17989901   </t>
  </si>
  <si>
    <t xml:space="preserve">AJUSTES POR INFLACION                             </t>
  </si>
  <si>
    <t xml:space="preserve">21150501   PAGARES                                           </t>
  </si>
  <si>
    <t xml:space="preserve">21150501   </t>
  </si>
  <si>
    <t xml:space="preserve">PAGARES                                           </t>
  </si>
  <si>
    <t xml:space="preserve">21152001   CONTRATOS DE ARRENDAMIENTO FINANCIERO (LEASING)   </t>
  </si>
  <si>
    <t xml:space="preserve">21152001   </t>
  </si>
  <si>
    <t xml:space="preserve">CONTRATOS DE ARRENDAMIENTO FINANCIERO (LEASING)   </t>
  </si>
  <si>
    <t xml:space="preserve">22050101   NACIONALES                                        </t>
  </si>
  <si>
    <t xml:space="preserve">22050101   </t>
  </si>
  <si>
    <t>P 005 00000000047 003</t>
  </si>
  <si>
    <t xml:space="preserve">EDS LA PALETILLA S.A.S                                                                                                                                </t>
  </si>
  <si>
    <t xml:space="preserve">EDS LA PALETILLA S.A.S                            </t>
  </si>
  <si>
    <t xml:space="preserve">P-005-00000049085-001                                                                   </t>
  </si>
  <si>
    <t>G 001 00000000662 001</t>
  </si>
  <si>
    <t xml:space="preserve">CORPORACION AUTONOMA REGIONAL DEL CESAR                                                                                                               </t>
  </si>
  <si>
    <t>PAG LIQ-9054 CONTRIB TASA x UTILIZ AGUA - CORPORAC</t>
  </si>
  <si>
    <t xml:space="preserve">P-002-00000009054-001                                                                   </t>
  </si>
  <si>
    <t>G 001 00000000663 001</t>
  </si>
  <si>
    <t xml:space="preserve">EDUAR ALFONSO VILLA MARQUEZ                                                                                                                           </t>
  </si>
  <si>
    <t>PAG FE-843 COMPRA AGUA - EDUAR ALFONSO VILLA MARQU</t>
  </si>
  <si>
    <t xml:space="preserve">P-002-00000000843-001                                                                   </t>
  </si>
  <si>
    <t>G 002 00000000050 001</t>
  </si>
  <si>
    <t xml:space="preserve">CARIBEMAR DE LA COSTA SAS ESP                                                                                                                         </t>
  </si>
  <si>
    <t xml:space="preserve">PTMO CDS x PAG 93102605003 SERV ENERG - CARIBEMAR </t>
  </si>
  <si>
    <t xml:space="preserve">P-002-93102605003-001                                                                   </t>
  </si>
  <si>
    <t>P 001 00000000152 001</t>
  </si>
  <si>
    <t xml:space="preserve">ALEXANDER CASTIBLANCO RODRIGUEZ                                                                                                                       </t>
  </si>
  <si>
    <t xml:space="preserve">CC81 HONORARIOS JUNIO 2026                        </t>
  </si>
  <si>
    <t xml:space="preserve">P-004-00000000081-001                                                                   </t>
  </si>
  <si>
    <t>P 001 00000000152 003</t>
  </si>
  <si>
    <t xml:space="preserve">P-001-00000000152-002                                                                   </t>
  </si>
  <si>
    <t>P 004 00000000779 002</t>
  </si>
  <si>
    <t xml:space="preserve">ALEXANDER CASTIBLANCO RODRIGUEZ                   </t>
  </si>
  <si>
    <t>P 005 00000000044 003</t>
  </si>
  <si>
    <t xml:space="preserve">INVERSIONES MACHIQUES S.A.S                                                                                                                           </t>
  </si>
  <si>
    <t xml:space="preserve">INVERSIONES MACHIQUES S.A.S                       </t>
  </si>
  <si>
    <t xml:space="preserve">P-005-00000170116-001                                                                   </t>
  </si>
  <si>
    <t>P 005 00000000046 002</t>
  </si>
  <si>
    <t xml:space="preserve">ACCQ S.A.S                                                                                                                                            </t>
  </si>
  <si>
    <t xml:space="preserve">ACCQ S.A.S                                        </t>
  </si>
  <si>
    <t xml:space="preserve">P-005-00000041443-001                                                                   </t>
  </si>
  <si>
    <t>P 001 00000000153 005</t>
  </si>
  <si>
    <t xml:space="preserve">BAÑO MOVIL DE COLOMBIA S.A. BAMOCOL S.A.                                                                                                              </t>
  </si>
  <si>
    <t xml:space="preserve">P-001-00000002476-001                                                                   </t>
  </si>
  <si>
    <t>G 001 00000000667 001</t>
  </si>
  <si>
    <t>PAG FE-905 COMPRA AGUA - EDUAR ALFONSO VILLA MARQU</t>
  </si>
  <si>
    <t xml:space="preserve">P-002-00000000905-001                                                                   </t>
  </si>
  <si>
    <t>P 002 00000000845 005</t>
  </si>
  <si>
    <t xml:space="preserve">CONTROL FINANCIERO OUTSOURCING - CFO SAS                                                                                                              </t>
  </si>
  <si>
    <t xml:space="preserve">P-002-00000001760-001                                                                   </t>
  </si>
  <si>
    <t>P 002 00000000844 005</t>
  </si>
  <si>
    <t xml:space="preserve">CONSULTORIA &amp; AUDITORIA OUTSOURCING SAS                                                                                                               </t>
  </si>
  <si>
    <t xml:space="preserve">P-002-00000002131-001                                                                   </t>
  </si>
  <si>
    <t>G 001 00000000668 001</t>
  </si>
  <si>
    <t>PAG CE-2131 SERV JUL-26  - CONSULTORIA &amp; AUDITORIA</t>
  </si>
  <si>
    <t>G 001 00000000669 001</t>
  </si>
  <si>
    <t>PAG CE-1760 SERV JUL-26 - CONTROL FINANCIERO OUTSO</t>
  </si>
  <si>
    <t>G 001 00000000670 001</t>
  </si>
  <si>
    <t>PAG FVAG-2423 SERV JUN-26 - BAÑO MOVIL DE COLOMBIA</t>
  </si>
  <si>
    <t xml:space="preserve">P-001-00000002423-001                                                                   </t>
  </si>
  <si>
    <t>P 001 00000000154 004</t>
  </si>
  <si>
    <t xml:space="preserve">BEJARANO Y RICAURTE ABOGADOS Y CONSULTORES SAS                                                                                                        </t>
  </si>
  <si>
    <t xml:space="preserve">BEJARANO Y RICAURTE ABOGADOS Y CONSULTORES SAS    </t>
  </si>
  <si>
    <t xml:space="preserve">P-001-00000002351-001                                                                   </t>
  </si>
  <si>
    <t>P 005 00000000043 003</t>
  </si>
  <si>
    <t xml:space="preserve">INVERSIONES MORON PEÑA Y CIA S EN C                                                                                                                   </t>
  </si>
  <si>
    <t xml:space="preserve">INVERSIONES MORON PEÑA Y CIA S EN C               </t>
  </si>
  <si>
    <t xml:space="preserve">P-005-00000023095-001                                                                   </t>
  </si>
  <si>
    <t>P 005 00000000045 003</t>
  </si>
  <si>
    <t xml:space="preserve">MASSER S A S                                                                                                                                          </t>
  </si>
  <si>
    <t xml:space="preserve">MASSER S A S                                      </t>
  </si>
  <si>
    <t xml:space="preserve">P-005-00000017695-001                                                                   </t>
  </si>
  <si>
    <t>P 002 00000000847 001</t>
  </si>
  <si>
    <t xml:space="preserve">UAE AUTORIDAD NACIONAL DE LICENCIAS AMBIENTALES - ANLA -                                                                                              </t>
  </si>
  <si>
    <t xml:space="preserve">RAD20261430203321 POST CUOTA 6-28 ANLA            </t>
  </si>
  <si>
    <t xml:space="preserve">P-002-00000202510-001                                                                   </t>
  </si>
  <si>
    <t>P 002 00000000847 003</t>
  </si>
  <si>
    <t xml:space="preserve">UAE AUTORIDAD NACIONAL DE LICENCIAS AMBIENTALES - </t>
  </si>
  <si>
    <t xml:space="preserve">P-002-20261430203-001                                                                   </t>
  </si>
  <si>
    <t>P 002 00000000849 002</t>
  </si>
  <si>
    <t xml:space="preserve">P-002-00000000953-001                                                                   </t>
  </si>
  <si>
    <t>P 001 00000000155 001</t>
  </si>
  <si>
    <t xml:space="preserve">DSNE787 HONORARIOS ASESORIA SST                   </t>
  </si>
  <si>
    <t xml:space="preserve">P-004-00000000082-001                                                                   </t>
  </si>
  <si>
    <t>P 001 00000000155 003</t>
  </si>
  <si>
    <t xml:space="preserve">P-001-00000000787-001                                                                   </t>
  </si>
  <si>
    <t>P 002 00000000848 001</t>
  </si>
  <si>
    <t xml:space="preserve">ANDRES MAURICIO CANONIGO PIMIENTA                                                                                                                     </t>
  </si>
  <si>
    <t xml:space="preserve">CC092 COMPRA DE FILTRO REEMBOLSO CM               </t>
  </si>
  <si>
    <t xml:space="preserve">P-004-00000003089-001                                                                   </t>
  </si>
  <si>
    <t>P 002 00000000848 004</t>
  </si>
  <si>
    <t xml:space="preserve">NACY CAROLINA BETO MONGUI                                                                                                                             </t>
  </si>
  <si>
    <t xml:space="preserve">CC092 PAPELERIA JULIO REEMBOLSO CM                </t>
  </si>
  <si>
    <t xml:space="preserve">P-004-00000006401-001                                                                   </t>
  </si>
  <si>
    <t>P 002 00000000848 005</t>
  </si>
  <si>
    <t xml:space="preserve">OLMER EDILSON ZAPATA LOGATTO                                                                                                                          </t>
  </si>
  <si>
    <t xml:space="preserve">CC092 SERV DIRECTV JULIO REEMBOLSO CM             </t>
  </si>
  <si>
    <t xml:space="preserve">P-004-00002060705-001                                                                   </t>
  </si>
  <si>
    <t>P 002 00000000848 018</t>
  </si>
  <si>
    <t xml:space="preserve">SIRLEY JHOHANA ROBLES ZAPATA                                                                                                                          </t>
  </si>
  <si>
    <t xml:space="preserve">CC092 EXTRACCION POSTE CONCRETO REEMBOLSO CM      </t>
  </si>
  <si>
    <t xml:space="preserve">P-004-00020260715-001                                                                   </t>
  </si>
  <si>
    <t>P 002 00000000848 026</t>
  </si>
  <si>
    <t xml:space="preserve">WILLIAM ALBERTO FONTALVO GUERRERO                                                                                                                     </t>
  </si>
  <si>
    <t xml:space="preserve">CC092 SERV CERRAJERIA REEMBOLSO CM                </t>
  </si>
  <si>
    <t xml:space="preserve">P-004-00000000505-001                                                                   </t>
  </si>
  <si>
    <t>P 002 00000000848 028</t>
  </si>
  <si>
    <t xml:space="preserve">EDIER GUTIERREZ CARVAJALINO                                                                                                                           </t>
  </si>
  <si>
    <t>CC092 MANTEMINIENTOS REDES ELECTRICAS REEMBOLSO CM</t>
  </si>
  <si>
    <t xml:space="preserve">P-004-00000000001-001                                                                   </t>
  </si>
  <si>
    <t>P 002 00000000848 046</t>
  </si>
  <si>
    <t xml:space="preserve">TAHILIN GEOVANNA RODRIGUEZ NIETO                                                                                                                      </t>
  </si>
  <si>
    <t xml:space="preserve">CC092 SERV PARQUEO JULIO REEMBOLSO CM             </t>
  </si>
  <si>
    <t xml:space="preserve">P-004-00000000004-001                                                                   </t>
  </si>
  <si>
    <t>P 004 00000000780 002</t>
  </si>
  <si>
    <t xml:space="preserve">ANDRES MAURICIO CANONIGO PIMIENTA                 </t>
  </si>
  <si>
    <t>P 004 00000000781 004</t>
  </si>
  <si>
    <t xml:space="preserve">NACY CAROLINA BETO MONGUI                         </t>
  </si>
  <si>
    <t>P 004 00000000782 002</t>
  </si>
  <si>
    <t xml:space="preserve">OLMER EDILSON ZAPATA LOGATTO                      </t>
  </si>
  <si>
    <t>P 004 00000000783 002</t>
  </si>
  <si>
    <t xml:space="preserve">SIRLEY JHOHANA ROBLES ZAPATA                      </t>
  </si>
  <si>
    <t>P 004 00000000784 002</t>
  </si>
  <si>
    <t xml:space="preserve">WILLIAM ALBERTO FONTALVO GUERRERO                 </t>
  </si>
  <si>
    <t>P 004 00000000785 002</t>
  </si>
  <si>
    <t xml:space="preserve">EDIER GUTIERREZ CARVAJALINO                       </t>
  </si>
  <si>
    <t>P 004 00000000786 002</t>
  </si>
  <si>
    <t xml:space="preserve">TAHILIN GEOVANNA RODRIGUEZ NIETO                  </t>
  </si>
  <si>
    <t>P 004 00000000787 002</t>
  </si>
  <si>
    <t xml:space="preserve">23350501   GASTOS FINANCIEROS MON NACIONAL                   </t>
  </si>
  <si>
    <t xml:space="preserve">23350501   </t>
  </si>
  <si>
    <t xml:space="preserve">GASTOS FINANCIEROS MON NACIONAL                   </t>
  </si>
  <si>
    <t xml:space="preserve">23351001   GASTOS LEGALES                                    </t>
  </si>
  <si>
    <t xml:space="preserve">23351001   </t>
  </si>
  <si>
    <t xml:space="preserve">GASTOS LEGALES                                    </t>
  </si>
  <si>
    <t xml:space="preserve">23352501   HONORARIOS                                        </t>
  </si>
  <si>
    <t xml:space="preserve">23352501   </t>
  </si>
  <si>
    <t xml:space="preserve">HONORARIOS                                        </t>
  </si>
  <si>
    <t xml:space="preserve">23353501   SERVICIOS DE MANTENIMIENTO                        </t>
  </si>
  <si>
    <t xml:space="preserve">23353501   </t>
  </si>
  <si>
    <t xml:space="preserve">SERVICIOS DE MANTENIMIENTO                        </t>
  </si>
  <si>
    <t xml:space="preserve">23354001   ARRENDAMIENTOS                                    </t>
  </si>
  <si>
    <t xml:space="preserve">23354001   </t>
  </si>
  <si>
    <t xml:space="preserve">ARRENDAMIENTOS                                    </t>
  </si>
  <si>
    <t xml:space="preserve">23354501   TRANSPORTES  FLETES Y ACARREOS                    </t>
  </si>
  <si>
    <t xml:space="preserve">23354501   </t>
  </si>
  <si>
    <t xml:space="preserve">TRANSPORTES  FLETES Y ACARREOS                    </t>
  </si>
  <si>
    <t xml:space="preserve">23355501   SEGUROS                                           </t>
  </si>
  <si>
    <t xml:space="preserve">23355501   </t>
  </si>
  <si>
    <t xml:space="preserve">SEGUROS                                           </t>
  </si>
  <si>
    <t xml:space="preserve">23359501   OTROS                                             </t>
  </si>
  <si>
    <t xml:space="preserve">23359501   </t>
  </si>
  <si>
    <t>G 001 00000000666 001</t>
  </si>
  <si>
    <t xml:space="preserve">DIDIER ALEXANDER CALDERON TOSCANO                                                                                                                     </t>
  </si>
  <si>
    <t>PAG CM_091 REEMB CAJA MENOR - DIDIER ALEXANDER CAL</t>
  </si>
  <si>
    <t xml:space="preserve">P-002-00000000091-001                                                                   </t>
  </si>
  <si>
    <t>P 002 00000000848 051</t>
  </si>
  <si>
    <t xml:space="preserve">P-002-00000000092-001                                                                   </t>
  </si>
  <si>
    <t xml:space="preserve">23550501   ACCIONISTAS                                       </t>
  </si>
  <si>
    <t xml:space="preserve">23550501   </t>
  </si>
  <si>
    <t xml:space="preserve">ACCIONISTAS                                       </t>
  </si>
  <si>
    <t xml:space="preserve">23650101   PAGO RETEFUENTE DIAN                              </t>
  </si>
  <si>
    <t xml:space="preserve">23650101   </t>
  </si>
  <si>
    <t xml:space="preserve">PAGO RETEFUENTE DIAN                              </t>
  </si>
  <si>
    <t xml:space="preserve">23650501   SALARIOS Y PAGOS LABORALES                        </t>
  </si>
  <si>
    <t xml:space="preserve">23650501   </t>
  </si>
  <si>
    <t xml:space="preserve">SALARIOS Y PAGOS LABORALES                        </t>
  </si>
  <si>
    <t xml:space="preserve">23651502   HONORARIOS PERSONAS JURIDICAS 11%                 </t>
  </si>
  <si>
    <t xml:space="preserve">23651502   </t>
  </si>
  <si>
    <t xml:space="preserve">HONORARIOS PERSONAS JURIDICAS 11%                 </t>
  </si>
  <si>
    <t>P 002 00000000845 003</t>
  </si>
  <si>
    <t xml:space="preserve">CE1760 CONSULTORIA FINANCIERA JULIO 2026          </t>
  </si>
  <si>
    <t>P 002 00000000844 003</t>
  </si>
  <si>
    <t xml:space="preserve">CE2131 REVISORIA FISCAL JULIO 2026                </t>
  </si>
  <si>
    <t>P 001 00000000154 003</t>
  </si>
  <si>
    <t xml:space="preserve">S2351 ASESORIA JURIDICA JULIO                     </t>
  </si>
  <si>
    <t xml:space="preserve">23652501   SERVICIOS PERSONAS JURIDICAS 4%                   </t>
  </si>
  <si>
    <t xml:space="preserve">23652501   </t>
  </si>
  <si>
    <t>P 001 00000000153 003</t>
  </si>
  <si>
    <t xml:space="preserve">FVAG2476 SERV MANTENIMIENTO UNIDAD SANITARIA      </t>
  </si>
  <si>
    <t>P 002 00000000848 019</t>
  </si>
  <si>
    <t>P 002 00000000848 029</t>
  </si>
  <si>
    <t>P 002 00000000848 036</t>
  </si>
  <si>
    <t xml:space="preserve">DIAGNOSTICO Y REPARACIONES AUTOMOTRIZ LIXKAP S.A.S                                                                                                    </t>
  </si>
  <si>
    <t xml:space="preserve">CC092 FV6060 REEMBOLSO CM                         </t>
  </si>
  <si>
    <t>P 002 00000000848 047</t>
  </si>
  <si>
    <t xml:space="preserve">23652502   SERVICIOS PERSONAS NATURALES 6%                   </t>
  </si>
  <si>
    <t xml:space="preserve">23652502   </t>
  </si>
  <si>
    <t xml:space="preserve">SERVICIOS PERSONAS NATURALES 6%                   </t>
  </si>
  <si>
    <t>P 002 00000000848 006</t>
  </si>
  <si>
    <t xml:space="preserve">23652503   SERVICIOS TRANSPORTE DE CARGA 1%                  </t>
  </si>
  <si>
    <t xml:space="preserve">23652503   </t>
  </si>
  <si>
    <t xml:space="preserve">SERVICIOS TRANSPORTE DE CARGA 1%                  </t>
  </si>
  <si>
    <t xml:space="preserve">23652505   SERVICIOS TRANSPORTE DE PASAJEROS 3.5%            </t>
  </si>
  <si>
    <t xml:space="preserve">23652505   </t>
  </si>
  <si>
    <t xml:space="preserve">SERVICIOS TRANSPORTE DE PASAJEROS 3.5%            </t>
  </si>
  <si>
    <t xml:space="preserve">23652507   SERVICIOS HOTELES Y RESTAURANTES 3.5%             </t>
  </si>
  <si>
    <t xml:space="preserve">23652507   </t>
  </si>
  <si>
    <t xml:space="preserve">SERVICIOS HOTELES Y RESTAURANTES 3.5%             </t>
  </si>
  <si>
    <t>23652509   SERVICIOS TRANSPORTE AEREO-MARITIMO 1% EMP. NACION</t>
  </si>
  <si>
    <t xml:space="preserve">23652509   </t>
  </si>
  <si>
    <t>SERVICIOS TRANSPORTE AEREO-MARITIMO 1% EMP. NACION</t>
  </si>
  <si>
    <t xml:space="preserve">23654002   COMPRAS COMBUSTIBLES 0.1%                         </t>
  </si>
  <si>
    <t xml:space="preserve">23654002   </t>
  </si>
  <si>
    <t xml:space="preserve">COMPRAS COMBUSTIBLES 0.1%                         </t>
  </si>
  <si>
    <t>P 005 00000000047 002</t>
  </si>
  <si>
    <t xml:space="preserve">Z1PL49085 COMPRA DE COMBUSTIBLE                   </t>
  </si>
  <si>
    <t>P 005 00000000044 002</t>
  </si>
  <si>
    <t xml:space="preserve">FEP2-170116 COMPRA DE COMBUSTIBLE                 </t>
  </si>
  <si>
    <t>P 005 00000000043 002</t>
  </si>
  <si>
    <t xml:space="preserve">D1BQ23095 COMPRA DE COMBUSTIBLE                   </t>
  </si>
  <si>
    <t>P 002 00000000848 013</t>
  </si>
  <si>
    <t xml:space="preserve">CC092 Z1PL50432 REEMBOLSO CM                      </t>
  </si>
  <si>
    <t xml:space="preserve">23654005   COMPRAS EN GENERAL 2.5%                           </t>
  </si>
  <si>
    <t xml:space="preserve">23654005   </t>
  </si>
  <si>
    <t xml:space="preserve">COMPRAS EN GENERAL 2.5%                           </t>
  </si>
  <si>
    <t xml:space="preserve">23657502   AUTO RETENCION RENTA (ANTES CREE)                 </t>
  </si>
  <si>
    <t xml:space="preserve">23657502   </t>
  </si>
  <si>
    <t>L 001 00000000022 003</t>
  </si>
  <si>
    <t xml:space="preserve">23680205   ICA BQ 12.5X1000 DEMAS ACTIVIDADES COM            </t>
  </si>
  <si>
    <t xml:space="preserve">23680205   </t>
  </si>
  <si>
    <t xml:space="preserve">ICA BQ 12.5X1000 DEMAS ACTIVIDADES COM            </t>
  </si>
  <si>
    <t xml:space="preserve">23680224   ICA JAGUA 217 10 0 X MIL DEMAS ACTIVIDAD COMERC   </t>
  </si>
  <si>
    <t xml:space="preserve">23680224   </t>
  </si>
  <si>
    <t xml:space="preserve">ICA JAGUA 217 10 0 X MIL DEMAS ACTIVIDAD COMERC   </t>
  </si>
  <si>
    <t xml:space="preserve">23680306   ICA BQ 12 5 X 1000 DEMAS ACTIVIDADES DE SERVICIO  </t>
  </si>
  <si>
    <t xml:space="preserve">23680306   </t>
  </si>
  <si>
    <t xml:space="preserve">ICA BQ 12 5 X 1000 DEMAS ACTIVIDADES DE SERVICIO  </t>
  </si>
  <si>
    <t>P 002 00000000845 004</t>
  </si>
  <si>
    <t>P 002 00000000844 004</t>
  </si>
  <si>
    <t xml:space="preserve">23680324   ICA JAGUA 310 10 X MIL DEMAS ACTIV DE SERVI       </t>
  </si>
  <si>
    <t xml:space="preserve">23680324   </t>
  </si>
  <si>
    <t xml:space="preserve">ICA JAGUA 310 10 X MIL DEMAS ACTIV DE SERVI       </t>
  </si>
  <si>
    <t>P 001 00000000152 002</t>
  </si>
  <si>
    <t>P 001 00000000153 004</t>
  </si>
  <si>
    <t>P 001 00000000155 002</t>
  </si>
  <si>
    <t>P 002 00000000848 008</t>
  </si>
  <si>
    <t>P 002 00000000848 021</t>
  </si>
  <si>
    <t>P 002 00000000848 031</t>
  </si>
  <si>
    <t>P 002 00000000848 038</t>
  </si>
  <si>
    <t>P 002 00000000848 049</t>
  </si>
  <si>
    <t xml:space="preserve">23681001   PAGO ICA DISTRITO BARRANQUILLA                    </t>
  </si>
  <si>
    <t xml:space="preserve">23681001   </t>
  </si>
  <si>
    <t xml:space="preserve">PAGO ICA DISTRITO BARRANQUILLA                    </t>
  </si>
  <si>
    <t>G 001 00000000665 001</t>
  </si>
  <si>
    <t xml:space="preserve">FIDUCIARIA LA PREVISORA S.A.                                                                                                                          </t>
  </si>
  <si>
    <t>PAG DECL RTEICA BAQ BIM 03-2026 - FIDUCIARIA LA PR</t>
  </si>
  <si>
    <t xml:space="preserve">P-002-00000202603-001                                                                   </t>
  </si>
  <si>
    <t xml:space="preserve">23682001   PAGO ICA LA JAGUA DE IBIRICO                      </t>
  </si>
  <si>
    <t xml:space="preserve">23682001   </t>
  </si>
  <si>
    <t xml:space="preserve">PAGO ICA LA JAGUA DE IBIRICO                      </t>
  </si>
  <si>
    <t>G 001 00000000664 001</t>
  </si>
  <si>
    <t xml:space="preserve">MUNICIPIO DE LA JAGUA DE IBIRICO                                                                                                                      </t>
  </si>
  <si>
    <t>PAG DECL RTEICA BIM 03-2026 - MUNICIPIO DE LA JAGU</t>
  </si>
  <si>
    <t xml:space="preserve">23700501   APORTES A ENTIDADES PROMOTORAS DE SALUD           </t>
  </si>
  <si>
    <t xml:space="preserve">23700501   </t>
  </si>
  <si>
    <t xml:space="preserve">APORTES A ENTIDADES PROMOTORAS DE SALUD           </t>
  </si>
  <si>
    <t xml:space="preserve">23700601   APORTES A ADMINISTRADORAS DE RIESGOS PRO          </t>
  </si>
  <si>
    <t xml:space="preserve">23700601   </t>
  </si>
  <si>
    <t xml:space="preserve">APORTES A ADMINISTRADORAS DE RIESGOS PRO          </t>
  </si>
  <si>
    <t xml:space="preserve">23701001   APORTES AL I C B F   SENA Y CAJAS DE COM          </t>
  </si>
  <si>
    <t xml:space="preserve">23701001   </t>
  </si>
  <si>
    <t xml:space="preserve">APORTES AL I C B F   SENA Y CAJAS DE COM          </t>
  </si>
  <si>
    <t xml:space="preserve">23709501   OTROS                                             </t>
  </si>
  <si>
    <t xml:space="preserve">23709501   </t>
  </si>
  <si>
    <t>G 002 00000000049 001</t>
  </si>
  <si>
    <t xml:space="preserve">ENLACE OPERATIVO S.A.                                                                                                                                 </t>
  </si>
  <si>
    <t>PTMO CDS x PAG SEG SOC JUN-2026 - ENLACE OPERATIVO</t>
  </si>
  <si>
    <t xml:space="preserve">P-002-00000202606-001                                                                   </t>
  </si>
  <si>
    <t xml:space="preserve">23803001   FONDOS DE CESANTIAS Y/O PENSIONES                 </t>
  </si>
  <si>
    <t xml:space="preserve">23803001   </t>
  </si>
  <si>
    <t xml:space="preserve">FONDOS DE CESANTIAS Y/O PENSIONES                 </t>
  </si>
  <si>
    <t xml:space="preserve">23809501   OTROS                                             </t>
  </si>
  <si>
    <t xml:space="preserve">23809501   </t>
  </si>
  <si>
    <t>G 002 00000000049 002</t>
  </si>
  <si>
    <t xml:space="preserve">CI CARBONES DE SANTANDER S.A.S.                                                                                                                       </t>
  </si>
  <si>
    <t>G 002 00000000050 002</t>
  </si>
  <si>
    <t>R 001 00000000175 001</t>
  </si>
  <si>
    <t>PRESTAMO RECIBIDO - CI CARBONES DE SANTANDER S.A.S</t>
  </si>
  <si>
    <t>R 001 00000000176 001</t>
  </si>
  <si>
    <t>R 001 00000000177 001</t>
  </si>
  <si>
    <t xml:space="preserve">23809502   OTROS MONEDA EXTRANJERA                           </t>
  </si>
  <si>
    <t xml:space="preserve">23809502   </t>
  </si>
  <si>
    <t xml:space="preserve">OTROS MONEDA EXTRANJERA                           </t>
  </si>
  <si>
    <t xml:space="preserve">24080325   IVA DESCONTABLE R.COMUN COMPRAS 19%               </t>
  </si>
  <si>
    <t xml:space="preserve">24080325   </t>
  </si>
  <si>
    <t xml:space="preserve">IVA DESCONTABLE R.COMUN COMPRAS 19%               </t>
  </si>
  <si>
    <t>P 005 00000000045 002</t>
  </si>
  <si>
    <t xml:space="preserve">Q45317695 SER DE COMEDOR                          </t>
  </si>
  <si>
    <t>P 002 00000000848 003</t>
  </si>
  <si>
    <t xml:space="preserve">PANAMERICANA LIBRERIA Y PAPELERIA SA                                                                                                                  </t>
  </si>
  <si>
    <t xml:space="preserve">CC092 30E622367 REEMBOLSO CM                      </t>
  </si>
  <si>
    <t>P 002 00000000848 016</t>
  </si>
  <si>
    <t xml:space="preserve">MET COMERCIALIZADORA Y DISTRIBUIDORA FERRETERA SAS                                                                                                    </t>
  </si>
  <si>
    <t xml:space="preserve">CC092 FE18292 REEMBOLSO CM                        </t>
  </si>
  <si>
    <t>P 002 00000000848 025</t>
  </si>
  <si>
    <t xml:space="preserve">JESUS ANTONIO PALOMO GALVIS                                                                                                                           </t>
  </si>
  <si>
    <t xml:space="preserve">CC092 SR219265 REEMBOLSO CM                       </t>
  </si>
  <si>
    <t>P 002 00000000848 042</t>
  </si>
  <si>
    <t xml:space="preserve">CC092 SR320969 REEMBOLSO CM                       </t>
  </si>
  <si>
    <t>P 002 00000000848 045</t>
  </si>
  <si>
    <t xml:space="preserve">JAIME ENRIQUE RUIZ YERENA                                                                                                                             </t>
  </si>
  <si>
    <t xml:space="preserve">CC092 68JG44027 REEMBOLSO CM                      </t>
  </si>
  <si>
    <t xml:space="preserve">24080326   IVA DESCONTABLE R.COMUN SERVICIO 19%              </t>
  </si>
  <si>
    <t xml:space="preserve">24080326   </t>
  </si>
  <si>
    <t xml:space="preserve">IVA DESCONTABLE R.COMUN SERVICIO 19%              </t>
  </si>
  <si>
    <t>P 001 00000000153 002</t>
  </si>
  <si>
    <t>P 002 00000000845 002</t>
  </si>
  <si>
    <t>P 002 00000000844 002</t>
  </si>
  <si>
    <t>P 001 00000000154 002</t>
  </si>
  <si>
    <t>P 002 00000000848 035</t>
  </si>
  <si>
    <t xml:space="preserve">24080327   IVA DESCONTABLE R.COMUN COMPRAS 5% CAYPA          </t>
  </si>
  <si>
    <t xml:space="preserve">24080327   </t>
  </si>
  <si>
    <t xml:space="preserve">IVA DESCONTABLE R.COMUN COMPRAS 5% CAYPA          </t>
  </si>
  <si>
    <t>P 002 00000000848 017</t>
  </si>
  <si>
    <t xml:space="preserve">24080397   IVA DESCONTABLE IFRS                              </t>
  </si>
  <si>
    <t xml:space="preserve">24080397   </t>
  </si>
  <si>
    <t xml:space="preserve">IVA DESCONTABLE IFRS                              </t>
  </si>
  <si>
    <t xml:space="preserve">24121001   VIGENCIAS FISCALES ANTERIORES                     </t>
  </si>
  <si>
    <t xml:space="preserve">24121001   </t>
  </si>
  <si>
    <t xml:space="preserve">VIGENCIAS FISCALES ANTERIORES                     </t>
  </si>
  <si>
    <t xml:space="preserve">25050501   SALARIOS POR PAGAR                                </t>
  </si>
  <si>
    <t xml:space="preserve">25050501   </t>
  </si>
  <si>
    <t xml:space="preserve">SALARIOS POR PAGAR                                </t>
  </si>
  <si>
    <t>P 002 00000000846 001</t>
  </si>
  <si>
    <t xml:space="preserve">SALARIOS POR PAGAR JULIO 2026                     </t>
  </si>
  <si>
    <t>P 002 00000000846 002</t>
  </si>
  <si>
    <t xml:space="preserve">MANUEL FELIPE BONILLA MORALES                                                                                                                         </t>
  </si>
  <si>
    <t>P 002 00000000846 003</t>
  </si>
  <si>
    <t xml:space="preserve">NORCARBON S.A.S.                                                                                                                                      </t>
  </si>
  <si>
    <t xml:space="preserve">NORCARBON S.A.S.                                  </t>
  </si>
  <si>
    <t xml:space="preserve">25101001   LEY 50 DE 1990 Y NORMAS POSTERIORES               </t>
  </si>
  <si>
    <t xml:space="preserve">25101001   </t>
  </si>
  <si>
    <t xml:space="preserve">LEY 50 DE 1990 Y NORMAS POSTERIORES               </t>
  </si>
  <si>
    <t xml:space="preserve">25150501   INTERESES SOBRE CESANTIAS                         </t>
  </si>
  <si>
    <t xml:space="preserve">25150501   </t>
  </si>
  <si>
    <t xml:space="preserve">INTERESES SOBRE CESANTIAS                         </t>
  </si>
  <si>
    <t xml:space="preserve">25250501   VACACIONES CONSOLIDADAS                           </t>
  </si>
  <si>
    <t xml:space="preserve">25250501   </t>
  </si>
  <si>
    <t xml:space="preserve">VACACIONES CONSOLIDADAS                           </t>
  </si>
  <si>
    <t xml:space="preserve">25300501   PRIMAS                                            </t>
  </si>
  <si>
    <t xml:space="preserve">25300501   </t>
  </si>
  <si>
    <t xml:space="preserve">PRIMAS                                            </t>
  </si>
  <si>
    <t xml:space="preserve">26050501   INTERESES                                         </t>
  </si>
  <si>
    <t xml:space="preserve">26050501   </t>
  </si>
  <si>
    <t xml:space="preserve">INTERESES                                         </t>
  </si>
  <si>
    <t xml:space="preserve">26051501   HONORARIOS                                        </t>
  </si>
  <si>
    <t xml:space="preserve">26051501   </t>
  </si>
  <si>
    <t xml:space="preserve">26054597   GARANTIAS IFRS                                    </t>
  </si>
  <si>
    <t xml:space="preserve">26054597   </t>
  </si>
  <si>
    <t xml:space="preserve">GARANTIAS IFRS                                    </t>
  </si>
  <si>
    <t xml:space="preserve">26100501   CESANTIAS                                         </t>
  </si>
  <si>
    <t xml:space="preserve">26100501   </t>
  </si>
  <si>
    <t xml:space="preserve">CESANTIAS                                         </t>
  </si>
  <si>
    <t xml:space="preserve">26101001   INTERESES SOBRE CESANTIAS                         </t>
  </si>
  <si>
    <t xml:space="preserve">26101001   </t>
  </si>
  <si>
    <t xml:space="preserve">26101501   VACACIONES                                        </t>
  </si>
  <si>
    <t xml:space="preserve">26101501   </t>
  </si>
  <si>
    <t xml:space="preserve">VACACIONES                                        </t>
  </si>
  <si>
    <t xml:space="preserve">26102001   PRIMA DE SERVICIOS                                </t>
  </si>
  <si>
    <t xml:space="preserve">26102001   </t>
  </si>
  <si>
    <t xml:space="preserve">PRIMA DE SERVICIOS                                </t>
  </si>
  <si>
    <t xml:space="preserve">26150597   DE RENTA Y COMPLEMENTARIOS IFRS                   </t>
  </si>
  <si>
    <t xml:space="preserve">26150597   </t>
  </si>
  <si>
    <t xml:space="preserve">DE RENTA Y COMPLEMENTARIOS IFRS                   </t>
  </si>
  <si>
    <t xml:space="preserve">28050501   DE CLIENTES                                       </t>
  </si>
  <si>
    <t xml:space="preserve">28050501   </t>
  </si>
  <si>
    <t xml:space="preserve">DE CLIENTES                                       </t>
  </si>
  <si>
    <t xml:space="preserve">28059501   OTROS                                             </t>
  </si>
  <si>
    <t xml:space="preserve">28059501   </t>
  </si>
  <si>
    <t xml:space="preserve">28150506   VALORES RECIBIDOS PARA TERCEROS                   </t>
  </si>
  <si>
    <t xml:space="preserve">28150506   </t>
  </si>
  <si>
    <t xml:space="preserve">VALORES RECIBIDOS PARA TERCEROS                   </t>
  </si>
  <si>
    <t xml:space="preserve">31050501   CAPITAL AUTORIZADO                                </t>
  </si>
  <si>
    <t xml:space="preserve">31050501   </t>
  </si>
  <si>
    <t xml:space="preserve">CAPITAL AUTORIZADO                                </t>
  </si>
  <si>
    <t xml:space="preserve">31051001   CAPITAL POR SUSCRIBIR (DB)                        </t>
  </si>
  <si>
    <t xml:space="preserve">31051001   </t>
  </si>
  <si>
    <t xml:space="preserve">CAPITAL POR SUSCRIBIR (DB)                        </t>
  </si>
  <si>
    <t xml:space="preserve">32050501   PRIMA EN COLOCACION DE ACCIONES                   </t>
  </si>
  <si>
    <t xml:space="preserve">32050501   </t>
  </si>
  <si>
    <t xml:space="preserve">PRIMA EN COLOCACION DE ACCIONES                   </t>
  </si>
  <si>
    <t xml:space="preserve">32051001   PRIMA EN COLOCACION DE AQCCIONES POR COB          </t>
  </si>
  <si>
    <t xml:space="preserve">32051001   </t>
  </si>
  <si>
    <t xml:space="preserve">PRIMA EN COLOCACION DE AQCCIONES POR COB          </t>
  </si>
  <si>
    <t xml:space="preserve">33050501   RESERVA LEGAL                                     </t>
  </si>
  <si>
    <t xml:space="preserve">33050501   </t>
  </si>
  <si>
    <t xml:space="preserve">RESERVA LEGAL                                     </t>
  </si>
  <si>
    <t xml:space="preserve">36050501   UTILIDAD DEL EJERCICIO                            </t>
  </si>
  <si>
    <t xml:space="preserve">36050501   </t>
  </si>
  <si>
    <t xml:space="preserve">UTILIDAD DEL EJERCICIO                            </t>
  </si>
  <si>
    <t xml:space="preserve">36050597   UTILIDAD DEL EJERCICIO IFRS                       </t>
  </si>
  <si>
    <t xml:space="preserve">36050597   </t>
  </si>
  <si>
    <t xml:space="preserve">UTILIDAD DEL EJERCICIO IFRS                       </t>
  </si>
  <si>
    <t xml:space="preserve">37050201   UTILIDADES O EXCEDENTES ACUMULADOS GRAVADOS       </t>
  </si>
  <si>
    <t xml:space="preserve">37050201   </t>
  </si>
  <si>
    <t xml:space="preserve">UTILIDADES O EXCEDENTES ACUMULADOS GRAVADOS       </t>
  </si>
  <si>
    <t xml:space="preserve">37100101   PERDIDAS ACUMULADAS                               </t>
  </si>
  <si>
    <t xml:space="preserve">37100101   </t>
  </si>
  <si>
    <t xml:space="preserve">PERDIDAS ACUMULADAS                               </t>
  </si>
  <si>
    <t xml:space="preserve">37100197   PERDIDAS ACUMULADAS IFRS                          </t>
  </si>
  <si>
    <t xml:space="preserve">37100197   </t>
  </si>
  <si>
    <t xml:space="preserve">PERDIDAS ACUMULADAS IFRS                          </t>
  </si>
  <si>
    <t xml:space="preserve">39050501   RESULTADOS ACUMULADOS POR ADOPCION DE NI          </t>
  </si>
  <si>
    <t xml:space="preserve">39050501   </t>
  </si>
  <si>
    <t xml:space="preserve">RESULTADOS ACUMULADOS POR ADOPCION DE NI          </t>
  </si>
  <si>
    <t xml:space="preserve">41350881   POR PARTICIPACION EN PRODUCCION MINA              </t>
  </si>
  <si>
    <t xml:space="preserve">41350881   </t>
  </si>
  <si>
    <t xml:space="preserve">POR PARTICIPACION EN PRODUCCION MINA              </t>
  </si>
  <si>
    <t xml:space="preserve">41459501   TRANSPORTE DE MATERIALES Y RESPUESTOS             </t>
  </si>
  <si>
    <t xml:space="preserve">41459501   </t>
  </si>
  <si>
    <t xml:space="preserve">TRANSPORTE DE MATERIALES Y RESPUESTOS             </t>
  </si>
  <si>
    <t xml:space="preserve">41459597   TRANSPORTE DE MATERIALES Y RESPUESTOS IFRS        </t>
  </si>
  <si>
    <t xml:space="preserve">41459597   </t>
  </si>
  <si>
    <t xml:space="preserve">TRANSPORTE DE MATERIALES Y RESPUESTOS IFRS        </t>
  </si>
  <si>
    <t>0000 000</t>
  </si>
  <si>
    <t xml:space="preserve">42051001   MATERIAL DE DESECHO                               </t>
  </si>
  <si>
    <t xml:space="preserve">42051001   </t>
  </si>
  <si>
    <t xml:space="preserve">MATERIAL DE DESECHO                               </t>
  </si>
  <si>
    <t xml:space="preserve">42100502   INTERESES BANCARIOS Y DE INVERSIONES FINANCIERAS  </t>
  </si>
  <si>
    <t xml:space="preserve">42100502   </t>
  </si>
  <si>
    <t xml:space="preserve">INTERESES BANCARIOS Y DE INVERSIONES FINANCIERAS  </t>
  </si>
  <si>
    <t>L 001 00000000022 001</t>
  </si>
  <si>
    <t xml:space="preserve">RENDIMIENTOS JUNIO 2026                           </t>
  </si>
  <si>
    <t>0001 000</t>
  </si>
  <si>
    <t xml:space="preserve">42755001   DEVOLUCIONES EN OTRAS VENTAS (DB)                 </t>
  </si>
  <si>
    <t xml:space="preserve">42755001   </t>
  </si>
  <si>
    <t xml:space="preserve">DEVOLUCIONES EN OTRAS VENTAS (DB)                 </t>
  </si>
  <si>
    <t xml:space="preserve">51050601   SUELDOS                                           </t>
  </si>
  <si>
    <t xml:space="preserve">51050601   </t>
  </si>
  <si>
    <t xml:space="preserve">SUELDOS                                           </t>
  </si>
  <si>
    <t xml:space="preserve">51052701   AUXILIO DE TRANSPORTE                             </t>
  </si>
  <si>
    <t xml:space="preserve">51052701   </t>
  </si>
  <si>
    <t xml:space="preserve">AUXILIO DE TRANSPORTE                             </t>
  </si>
  <si>
    <t xml:space="preserve">51053001   CESANTIAS                                         </t>
  </si>
  <si>
    <t xml:space="preserve">51053001   </t>
  </si>
  <si>
    <t xml:space="preserve">51053301   INTERESES SOBRE CESANTIAS                         </t>
  </si>
  <si>
    <t xml:space="preserve">51053301   </t>
  </si>
  <si>
    <t xml:space="preserve">51053601   PRIMA DE SERVICIOS                                </t>
  </si>
  <si>
    <t xml:space="preserve">51053601   </t>
  </si>
  <si>
    <t xml:space="preserve">51053901   VACACIONES                                        </t>
  </si>
  <si>
    <t xml:space="preserve">51053901   </t>
  </si>
  <si>
    <t xml:space="preserve">51056801   APORTES ADMINISTRADORAS DE RIESGOS PROFE          </t>
  </si>
  <si>
    <t xml:space="preserve">51056801   </t>
  </si>
  <si>
    <t xml:space="preserve">APORTES ADMINISTRADORAS DE RIESGOS PROFE          </t>
  </si>
  <si>
    <t xml:space="preserve">51056901   APORTES A ENTIDADES PROMOTORAS DE SALUD           </t>
  </si>
  <si>
    <t xml:space="preserve">51056901   </t>
  </si>
  <si>
    <t xml:space="preserve">51057001   APORTES FONDOS DE PENSIONES                       </t>
  </si>
  <si>
    <t xml:space="preserve">51057001   </t>
  </si>
  <si>
    <t xml:space="preserve">APORTES FONDOS DE PENSIONES                       </t>
  </si>
  <si>
    <t xml:space="preserve">51057201   APORTES CAJAS DE COMPESACION FAMILIAR             </t>
  </si>
  <si>
    <t xml:space="preserve">51057201   </t>
  </si>
  <si>
    <t xml:space="preserve">APORTES CAJAS DE COMPESACION FAMILIAR             </t>
  </si>
  <si>
    <t xml:space="preserve">51101001   REVISORIA FISCAL                                  </t>
  </si>
  <si>
    <t xml:space="preserve">51101001   </t>
  </si>
  <si>
    <t xml:space="preserve">REVISORIA FISCAL                                  </t>
  </si>
  <si>
    <t>P 002 00000000844 001</t>
  </si>
  <si>
    <t xml:space="preserve">51102501   ASESORIA JURIDICA                                 </t>
  </si>
  <si>
    <t xml:space="preserve">51102501   </t>
  </si>
  <si>
    <t xml:space="preserve">ASESORIA JURIDICA                                 </t>
  </si>
  <si>
    <t>P 001 00000000154 001</t>
  </si>
  <si>
    <t xml:space="preserve">51109501   OTROS                                             </t>
  </si>
  <si>
    <t xml:space="preserve">51109501   </t>
  </si>
  <si>
    <t>P 002 00000000845 001</t>
  </si>
  <si>
    <t xml:space="preserve">51150501   INDUSTRIA Y COMERCIO                              </t>
  </si>
  <si>
    <t xml:space="preserve">51150501   </t>
  </si>
  <si>
    <t xml:space="preserve">INDUSTRIA Y COMERCIO                              </t>
  </si>
  <si>
    <t xml:space="preserve">51151501   A LA PROPIEDAD RAIZ                               </t>
  </si>
  <si>
    <t xml:space="preserve">51151501   </t>
  </si>
  <si>
    <t xml:space="preserve">A LA PROPIEDAD RAIZ                               </t>
  </si>
  <si>
    <t xml:space="preserve">51157001   IVA DESCONTABLE                                   </t>
  </si>
  <si>
    <t xml:space="preserve">51157001   </t>
  </si>
  <si>
    <t xml:space="preserve">IVA DESCONTABLE                                   </t>
  </si>
  <si>
    <t xml:space="preserve">51157097   IVA DESCONTABLE IFRS                              </t>
  </si>
  <si>
    <t xml:space="preserve">51157097   </t>
  </si>
  <si>
    <t xml:space="preserve">51159501   GRAVAMEN AL MOVIMIENTO FINANCIERO DEDUCIBLE       </t>
  </si>
  <si>
    <t xml:space="preserve">51159501   </t>
  </si>
  <si>
    <t xml:space="preserve">GRAVAMEN AL MOVIMIENTO FINANCIERO DEDUCIBLE       </t>
  </si>
  <si>
    <t xml:space="preserve">51159502   GRAVAMEN AL MOVIMIENTO FINANCIERO NO DEDUCIBLE    </t>
  </si>
  <si>
    <t xml:space="preserve">51159502   </t>
  </si>
  <si>
    <t xml:space="preserve">GRAVAMEN AL MOVIMIENTO FINANCIERO NO DEDUCIBLE    </t>
  </si>
  <si>
    <t xml:space="preserve">51159504   OTROS                                             </t>
  </si>
  <si>
    <t xml:space="preserve">51159504   </t>
  </si>
  <si>
    <t xml:space="preserve">51301001   CUMPLIMIENTO                                      </t>
  </si>
  <si>
    <t xml:space="preserve">51301001   </t>
  </si>
  <si>
    <t xml:space="preserve">CUMPLIMIENTO                                      </t>
  </si>
  <si>
    <t xml:space="preserve">51350501   ASEO Y VIGILANCIA                                 </t>
  </si>
  <si>
    <t xml:space="preserve">51350501   </t>
  </si>
  <si>
    <t xml:space="preserve">ASEO Y VIGILANCIA                                 </t>
  </si>
  <si>
    <t xml:space="preserve">51401001   REGISTRO MERCANTIL                                </t>
  </si>
  <si>
    <t xml:space="preserve">51401001   </t>
  </si>
  <si>
    <t xml:space="preserve">REGISTRO MERCANTIL                                </t>
  </si>
  <si>
    <t xml:space="preserve">51409501   OTROS                                             </t>
  </si>
  <si>
    <t xml:space="preserve">51409501   </t>
  </si>
  <si>
    <t xml:space="preserve">51659501   OTRAS                                             </t>
  </si>
  <si>
    <t xml:space="preserve">51659501   </t>
  </si>
  <si>
    <t xml:space="preserve">53050501   GASTOS BANCARIOS                                  </t>
  </si>
  <si>
    <t xml:space="preserve">53050501   </t>
  </si>
  <si>
    <t xml:space="preserve">GASTOS BANCARIOS                                  </t>
  </si>
  <si>
    <t>P 002 00000000848 040</t>
  </si>
  <si>
    <t xml:space="preserve">BANCO DE OCCIDENTE                                                                                                                                    </t>
  </si>
  <si>
    <t xml:space="preserve">CC092 COMISION DE RETIRO REEMBOLSO CM             </t>
  </si>
  <si>
    <t xml:space="preserve">53051501   COMISIONES  BANCARIAS                             </t>
  </si>
  <si>
    <t xml:space="preserve">53051501   </t>
  </si>
  <si>
    <t xml:space="preserve">COMISIONES  BANCARIAS                             </t>
  </si>
  <si>
    <t xml:space="preserve">53052003   INTERESES DE TERCEROS                             </t>
  </si>
  <si>
    <t xml:space="preserve">53052003   </t>
  </si>
  <si>
    <t xml:space="preserve">INTERESES DE TERCEROS                             </t>
  </si>
  <si>
    <t>P 002 00000000847 002</t>
  </si>
  <si>
    <t xml:space="preserve">53150501   COSTAS Y PROCESOS JUDICIALES                      </t>
  </si>
  <si>
    <t xml:space="preserve">53150501   </t>
  </si>
  <si>
    <t xml:space="preserve">COSTAS Y PROCESOS JUDICIALES                      </t>
  </si>
  <si>
    <t xml:space="preserve">53151501   COSTOS Y GASTOS DE EJERCICIOS ANTERIORES          </t>
  </si>
  <si>
    <t xml:space="preserve">53151501   </t>
  </si>
  <si>
    <t xml:space="preserve">COSTOS Y GASTOS DE EJERCICIOS ANTERIORES          </t>
  </si>
  <si>
    <t xml:space="preserve">53152002   IMPUESTOS ASUMIDOS RETENCION EN LA FUENTE         </t>
  </si>
  <si>
    <t xml:space="preserve">53152002   </t>
  </si>
  <si>
    <t xml:space="preserve">IMPUESTOS ASUMIDOS RETENCION EN LA FUENTE         </t>
  </si>
  <si>
    <t>P 002 00000000848 007</t>
  </si>
  <si>
    <t>P 002 00000000848 014</t>
  </si>
  <si>
    <t>P 002 00000000848 020</t>
  </si>
  <si>
    <t>P 002 00000000848 030</t>
  </si>
  <si>
    <t>P 002 00000000848 037</t>
  </si>
  <si>
    <t>P 002 00000000848 048</t>
  </si>
  <si>
    <t>P 002 00000000848 050</t>
  </si>
  <si>
    <t xml:space="preserve">53152005   IMPUESTOS ASUMIDOS ICA                            </t>
  </si>
  <si>
    <t xml:space="preserve">53152005   </t>
  </si>
  <si>
    <t xml:space="preserve">IMPUESTOS ASUMIDOS ICA                            </t>
  </si>
  <si>
    <t>P 002 00000000848 009</t>
  </si>
  <si>
    <t>P 002 00000000848 022</t>
  </si>
  <si>
    <t>P 002 00000000848 032</t>
  </si>
  <si>
    <t>P 002 00000000848 039</t>
  </si>
  <si>
    <t xml:space="preserve">53152097   IMPUESTOS ASUMIDOS IFRS                           </t>
  </si>
  <si>
    <t xml:space="preserve">53152097   </t>
  </si>
  <si>
    <t xml:space="preserve">IMPUESTOS ASUMIDOS IFRS                           </t>
  </si>
  <si>
    <t xml:space="preserve">53959501   AJUSTE AL PESO                                    </t>
  </si>
  <si>
    <t xml:space="preserve">53959501   </t>
  </si>
  <si>
    <t xml:space="preserve">AJUSTE AL PESO                                    </t>
  </si>
  <si>
    <t xml:space="preserve">53959505   OTROS                                             </t>
  </si>
  <si>
    <t xml:space="preserve">53959505   </t>
  </si>
  <si>
    <t>P 002 00000000848 010</t>
  </si>
  <si>
    <t xml:space="preserve">AGROPECUARIA MULTIGRANJAS L&amp;S S.A.S                                                                                                                   </t>
  </si>
  <si>
    <t xml:space="preserve">CC092 COMPRA DE INSUMOS REEMBOLSO CM              </t>
  </si>
  <si>
    <t>P 002 00000000848 011</t>
  </si>
  <si>
    <t xml:space="preserve">EXPRESO BRASILIA SA                                                                                                                                   </t>
  </si>
  <si>
    <t xml:space="preserve">CC092 SERVICIO DE MENSAJERIA REEMBOLSO CM         </t>
  </si>
  <si>
    <t>P 002 00000000848 023</t>
  </si>
  <si>
    <t xml:space="preserve">KOBA COLOMBIA S A S                                                                                                                                   </t>
  </si>
  <si>
    <t xml:space="preserve">CC092 COMPRA INSUMOS REEMBOLSO CM                 </t>
  </si>
  <si>
    <t>P 002 00000000848 033</t>
  </si>
  <si>
    <t xml:space="preserve">CC092 SERV MENSAJERIA REEMBOLSO CM                </t>
  </si>
  <si>
    <t xml:space="preserve">54050597   IMPUESTO DE RENTA Y COMPLEMENTARIOS IFRS          </t>
  </si>
  <si>
    <t xml:space="preserve">54050597   </t>
  </si>
  <si>
    <t xml:space="preserve">IMPUESTO DE RENTA Y COMPLEMENTARIOS IFRS          </t>
  </si>
  <si>
    <t xml:space="preserve">54050697   IMPUESTO DIFERIDO IFRS                            </t>
  </si>
  <si>
    <t xml:space="preserve">54050697   </t>
  </si>
  <si>
    <t xml:space="preserve">IMPUESTO DIFERIDO IFRS                            </t>
  </si>
  <si>
    <t xml:space="preserve">72050601   SUELDOS                                           </t>
  </si>
  <si>
    <t xml:space="preserve">72050601   </t>
  </si>
  <si>
    <t xml:space="preserve">72053001   CESANTIAS                                         </t>
  </si>
  <si>
    <t xml:space="preserve">72053001   </t>
  </si>
  <si>
    <t xml:space="preserve">72053301   INTERESES SOBRE CESANTIAS                         </t>
  </si>
  <si>
    <t xml:space="preserve">72053301   </t>
  </si>
  <si>
    <t xml:space="preserve">72053601   PRIMA                                             </t>
  </si>
  <si>
    <t xml:space="preserve">72053601   </t>
  </si>
  <si>
    <t xml:space="preserve">PRIMA                                             </t>
  </si>
  <si>
    <t xml:space="preserve">72053901   VACACIONES                                        </t>
  </si>
  <si>
    <t xml:space="preserve">72053901   </t>
  </si>
  <si>
    <t xml:space="preserve">72055101   DOTACION Y SUMINISTRO A TRABAJADORES              </t>
  </si>
  <si>
    <t xml:space="preserve">72055101   </t>
  </si>
  <si>
    <t xml:space="preserve">DOTACION Y SUMINISTRO A TRABAJADORES              </t>
  </si>
  <si>
    <t xml:space="preserve">72056801   RIESGOS LABORALES                                 </t>
  </si>
  <si>
    <t xml:space="preserve">72056801   </t>
  </si>
  <si>
    <t xml:space="preserve">RIESGOS LABORALES                                 </t>
  </si>
  <si>
    <t xml:space="preserve">72057001   APORTES A FONDOS DE PENSIONES Y/O CESANT          </t>
  </si>
  <si>
    <t xml:space="preserve">72057001   </t>
  </si>
  <si>
    <t xml:space="preserve">APORTES A FONDOS DE PENSIONES Y/O CESANT          </t>
  </si>
  <si>
    <t xml:space="preserve">72057201   APORTES A CAJAS DE COMPENSACION FAMILIAR          </t>
  </si>
  <si>
    <t xml:space="preserve">72057201   </t>
  </si>
  <si>
    <t xml:space="preserve">APORTES A CAJAS DE COMPENSACION FAMILIAR          </t>
  </si>
  <si>
    <t xml:space="preserve">73109501   HONORARIOS INDEPENDIENTES                         </t>
  </si>
  <si>
    <t xml:space="preserve">73109501   </t>
  </si>
  <si>
    <t xml:space="preserve">HONORARIOS INDEPENDIENTES                         </t>
  </si>
  <si>
    <t>P 004 00000000779 001</t>
  </si>
  <si>
    <t>P 004 00000000787 001</t>
  </si>
  <si>
    <t xml:space="preserve">CC82 HONORARIOS ASESORIA SST                      </t>
  </si>
  <si>
    <t xml:space="preserve">73109502   OTROS HONORARIOS                                  </t>
  </si>
  <si>
    <t xml:space="preserve">73109502   </t>
  </si>
  <si>
    <t xml:space="preserve">OTROS HONORARIOS                                  </t>
  </si>
  <si>
    <t xml:space="preserve">73350501   ASEO Y VIGILANCIA                                 </t>
  </si>
  <si>
    <t xml:space="preserve">73350501   </t>
  </si>
  <si>
    <t xml:space="preserve">73353001   ENERGIA ELECTRICA                                 </t>
  </si>
  <si>
    <t xml:space="preserve">73353001   </t>
  </si>
  <si>
    <t xml:space="preserve">ENERGIA ELECTRICA                                 </t>
  </si>
  <si>
    <t xml:space="preserve">73355003   OTROS TRANSPORTES                                 </t>
  </si>
  <si>
    <t xml:space="preserve">73355003   </t>
  </si>
  <si>
    <t xml:space="preserve">OTROS TRANSPORTES                                 </t>
  </si>
  <si>
    <t xml:space="preserve">73359595   OTROS SERVICIOS                                   </t>
  </si>
  <si>
    <t xml:space="preserve">73359595   </t>
  </si>
  <si>
    <t xml:space="preserve">OTROS SERVICIOS                                   </t>
  </si>
  <si>
    <t>P 001 00000000153 001</t>
  </si>
  <si>
    <t>P 004 00000000782 001</t>
  </si>
  <si>
    <t xml:space="preserve">CC20260705 SERVICIO DE DIRECTV                    </t>
  </si>
  <si>
    <t>P 004 00000000783 001</t>
  </si>
  <si>
    <t xml:space="preserve">CC05 EXTRACION DE POSTE CONCRETO                  </t>
  </si>
  <si>
    <t>P 004 00000000784 001</t>
  </si>
  <si>
    <t xml:space="preserve">CC0505 SERV DE CERRAJERIA                         </t>
  </si>
  <si>
    <t xml:space="preserve">73451501   MAQUINARIA Y EQUIPO                               </t>
  </si>
  <si>
    <t xml:space="preserve">73451501   </t>
  </si>
  <si>
    <t xml:space="preserve">73452501   EQUIPO DE COMPUTACION Y COMUNICACION              </t>
  </si>
  <si>
    <t xml:space="preserve">73452501   </t>
  </si>
  <si>
    <t>P 002 00000000848 002</t>
  </si>
  <si>
    <t xml:space="preserve">73454001   FLOTA Y EQUIPO DE TRANSPORTE                      </t>
  </si>
  <si>
    <t xml:space="preserve">73454001   </t>
  </si>
  <si>
    <t>P 002 00000000848 034</t>
  </si>
  <si>
    <t xml:space="preserve">73500501   INSTALACIONES ELECTRICAS                          </t>
  </si>
  <si>
    <t xml:space="preserve">73500501   </t>
  </si>
  <si>
    <t xml:space="preserve">INSTALACIONES ELECTRICAS                          </t>
  </si>
  <si>
    <t>P 004 00000000785 001</t>
  </si>
  <si>
    <t xml:space="preserve">CC1 MANTENUMIENTOS INSTALACION ELECTRICAS         </t>
  </si>
  <si>
    <t xml:space="preserve">73550501   ALOJAMIENTO Y MANUTENCION                         </t>
  </si>
  <si>
    <t xml:space="preserve">73550501   </t>
  </si>
  <si>
    <t xml:space="preserve">ALOJAMIENTO Y MANUTENCION                         </t>
  </si>
  <si>
    <t xml:space="preserve">73551501   PASAJES AEREOS                                    </t>
  </si>
  <si>
    <t xml:space="preserve">73551501   </t>
  </si>
  <si>
    <t xml:space="preserve">PASAJES AEREOS                                    </t>
  </si>
  <si>
    <t xml:space="preserve">73952501   ELEMENTOS DE ASEO Y CAFETERIA                     </t>
  </si>
  <si>
    <t xml:space="preserve">73952501   </t>
  </si>
  <si>
    <t xml:space="preserve">ELEMENTOS DE ASEO Y CAFETERIA                     </t>
  </si>
  <si>
    <t>P 002 00000000849 001</t>
  </si>
  <si>
    <t xml:space="preserve">FE953 COMPRA DE PACAS DE AUA                      </t>
  </si>
  <si>
    <t xml:space="preserve">73953001   UTILES  PAPELERIA Y FOTOCOPIAS                    </t>
  </si>
  <si>
    <t xml:space="preserve">73953001   </t>
  </si>
  <si>
    <t xml:space="preserve">UTILES  PAPELERIA Y FOTOCOPIAS                    </t>
  </si>
  <si>
    <t>P 004 00000000781 001</t>
  </si>
  <si>
    <t xml:space="preserve">CC6401 COMPRA INSUMOS PAPELERIA                   </t>
  </si>
  <si>
    <t>P 004 00000000781 002</t>
  </si>
  <si>
    <t xml:space="preserve">CC6402 FOTOCOPIAS PAPELERIA                       </t>
  </si>
  <si>
    <t>P 004 00000000781 003</t>
  </si>
  <si>
    <t xml:space="preserve">CC6406 FOTOCOPIAS PAPELERIA                       </t>
  </si>
  <si>
    <t xml:space="preserve">73953501   COMBUSTIBLES Y LUBRICANTES                        </t>
  </si>
  <si>
    <t xml:space="preserve">73953501   </t>
  </si>
  <si>
    <t xml:space="preserve">COMBUSTIBLES Y LUBRICANTES                        </t>
  </si>
  <si>
    <t>P 005 00000000047 001</t>
  </si>
  <si>
    <t>P 005 00000000044 001</t>
  </si>
  <si>
    <t>P 005 00000000043 001</t>
  </si>
  <si>
    <t>P 002 00000000848 012</t>
  </si>
  <si>
    <t xml:space="preserve">73954501   TAXIS Y BUSES                                     </t>
  </si>
  <si>
    <t xml:space="preserve">73954501   </t>
  </si>
  <si>
    <t xml:space="preserve">TAXIS Y BUSES                                     </t>
  </si>
  <si>
    <t xml:space="preserve">73956001   CASINO Y RESTAURANTE                              </t>
  </si>
  <si>
    <t xml:space="preserve">73956001   </t>
  </si>
  <si>
    <t xml:space="preserve">CASINO Y RESTAURANTE                              </t>
  </si>
  <si>
    <t>P 005 00000000046 001</t>
  </si>
  <si>
    <t xml:space="preserve">VIBG41443 SERV DE COMEDOR                         </t>
  </si>
  <si>
    <t>P 005 00000000045 001</t>
  </si>
  <si>
    <t xml:space="preserve">73956501   PARQUEADEROS Y PEAJES                             </t>
  </si>
  <si>
    <t xml:space="preserve">73956501   </t>
  </si>
  <si>
    <t xml:space="preserve">PARQUEADEROS Y PEAJES                             </t>
  </si>
  <si>
    <t>P 004 00000000786 001</t>
  </si>
  <si>
    <t xml:space="preserve">CC4 SERVICIO DE PARQUEDADERO CAMIONETAS           </t>
  </si>
  <si>
    <t xml:space="preserve">73959503   OTROS                                             </t>
  </si>
  <si>
    <t xml:space="preserve">73959503   </t>
  </si>
  <si>
    <t>P 002 00000000848 015</t>
  </si>
  <si>
    <t>P 002 00000000848 024</t>
  </si>
  <si>
    <t>P 002 00000000848 027</t>
  </si>
  <si>
    <t xml:space="preserve">CC092 SR320883 REEMBOLSO CM                       </t>
  </si>
  <si>
    <t>P 002 00000000848 041</t>
  </si>
  <si>
    <t>P 002 00000000848 043</t>
  </si>
  <si>
    <t xml:space="preserve">CC092 FE18994 REEMBOLSO CM                        </t>
  </si>
  <si>
    <t>P 002 00000000848 044</t>
  </si>
  <si>
    <t>P 004 00000000780 001</t>
  </si>
  <si>
    <t xml:space="preserve">CC3089 COMPRA DE FILTRO DE AIRE                   </t>
  </si>
  <si>
    <t xml:space="preserve">73959505   MANEJO AMBIENTAL MINA                             </t>
  </si>
  <si>
    <t xml:space="preserve">73959505   </t>
  </si>
  <si>
    <t xml:space="preserve">MANEJO AMBIENTAL MINA                             </t>
  </si>
  <si>
    <t xml:space="preserve">Total 11051007   CAJA MENOR LA JAGUA DE IBIRICO                    </t>
  </si>
  <si>
    <t xml:space="preserve">Total 11100501   BANCO DE BOGOTA                                   </t>
  </si>
  <si>
    <t xml:space="preserve">Total 11100502   BANCO COLPATRIA CTA CTE                           </t>
  </si>
  <si>
    <t xml:space="preserve">Total 11150501   MONEDA NACIONAL                                   </t>
  </si>
  <si>
    <t xml:space="preserve">Total 11250501   ROTATORIOS MONEDA NACIONAL                        </t>
  </si>
  <si>
    <t xml:space="preserve">Total 12050601   ACCIONES                                          </t>
  </si>
  <si>
    <t xml:space="preserve">Total 12503528   CORREVAL - FONVAL TESORERIA                       </t>
  </si>
  <si>
    <t xml:space="preserve">Total 13050501   NACIONALES                                        </t>
  </si>
  <si>
    <t xml:space="preserve">Total 13051001   DEL EXTERIOR                                      </t>
  </si>
  <si>
    <t xml:space="preserve">Total 13251001   A ACCIONISTAS                                     </t>
  </si>
  <si>
    <t xml:space="preserve">Total 13300508   ANTICIPOS PARA COSTOS INCURRIDOS EN PROYECTOS     </t>
  </si>
  <si>
    <t xml:space="preserve">Total 13300509   ANTICIPOS PARA GASTOS INCURRIDOS EN OFICINA       </t>
  </si>
  <si>
    <t xml:space="preserve">Total 13300597   ANTICIPOS Y AVANCES IFRS                          </t>
  </si>
  <si>
    <t xml:space="preserve">Total 13459597   OTROS IFRS                                        </t>
  </si>
  <si>
    <t xml:space="preserve">Total 13551501   SERVICIOS PERSONAS JURIDICAS 4%                   </t>
  </si>
  <si>
    <t xml:space="preserve">Total 13551504   RENDIMIENTOS FINANCIEROS                          </t>
  </si>
  <si>
    <t xml:space="preserve">Total 13551597   RETENCION EN LA FUENTE IFRS                       </t>
  </si>
  <si>
    <t xml:space="preserve">Total 13551802   IMP DE IND Y COM RET LA JAGUA                     </t>
  </si>
  <si>
    <t xml:space="preserve">Total 13552001   SOBRAN LIQUID PRIV  IMPUESTO                      </t>
  </si>
  <si>
    <t xml:space="preserve">Total 13552003   SOBRAN LIQUID PRIV IMP IVA                        </t>
  </si>
  <si>
    <t xml:space="preserve">Total 13552005   SOBRAN LIQUID PRIV  IMP ICA                       </t>
  </si>
  <si>
    <t xml:space="preserve">Total 13552097   SALDO A FAVOR IFRS                                </t>
  </si>
  <si>
    <t xml:space="preserve">Total 13553001   IMPUESTOS DESCONTABLES                            </t>
  </si>
  <si>
    <t xml:space="preserve">Total 13559504   AUTO RETENCION RENTA (ANTES CREE)                 </t>
  </si>
  <si>
    <t xml:space="preserve">Total 13559597   OTROS IFRS                                        </t>
  </si>
  <si>
    <t xml:space="preserve">Total 13609501   OTRAS                                             </t>
  </si>
  <si>
    <t xml:space="preserve">Total 13809502   OTROS EMPRESARIALES                               </t>
  </si>
  <si>
    <t xml:space="preserve">Total 13809507   OTROS EMPRESARIALES PERSONAS NATURALES            </t>
  </si>
  <si>
    <t xml:space="preserve">Total 13990501   CLIENTES                                          </t>
  </si>
  <si>
    <t xml:space="preserve">Total 14350501   INVENTARIOS                                       </t>
  </si>
  <si>
    <t xml:space="preserve">Total 14990501   PARA OBSOLECENCIA                                 </t>
  </si>
  <si>
    <t xml:space="preserve">Total 15041001   RURALES                                           </t>
  </si>
  <si>
    <t xml:space="preserve">Total 15160501   EDIFICIOS                                         </t>
  </si>
  <si>
    <t xml:space="preserve">Total 15201001   MAQUINARIA Y EQUIPO                               </t>
  </si>
  <si>
    <t xml:space="preserve">Total 15240501   MUEBLES Y ENSERES                                 </t>
  </si>
  <si>
    <t xml:space="preserve">Total 15280501   EQUIPOS DE PROCESAMIENTO DE DATOS                 </t>
  </si>
  <si>
    <t xml:space="preserve">Total 15400501   AUTOS  CAMIONETAS Y CAMPEROS                      </t>
  </si>
  <si>
    <t xml:space="preserve">Total 15681001   VIAS                                              </t>
  </si>
  <si>
    <t xml:space="preserve">Total 15920501   CONSTRUCCIONES Y EDIFICACIONES                    </t>
  </si>
  <si>
    <t xml:space="preserve">Total 15921001   MAQUINARIA Y EQUIPO                               </t>
  </si>
  <si>
    <t xml:space="preserve">Total 15921501   EQUIPO DE OFICINA                                 </t>
  </si>
  <si>
    <t xml:space="preserve">Total 15922001   EQUIPO DE COMPUTACION Y COMUNICACION              </t>
  </si>
  <si>
    <t xml:space="preserve">Total 15923501   FLOTA Y EQUIPO DE TRANSPORTE                      </t>
  </si>
  <si>
    <t xml:space="preserve">Total 15971001   VIAS DE COMUNICACION                              </t>
  </si>
  <si>
    <t xml:space="preserve">Total 17052001   SEGUROS Y FIANZAS                                 </t>
  </si>
  <si>
    <t xml:space="preserve">Total 17101201   ESTUDIOS  INVESTIGACIONES Y PROYECTOS             </t>
  </si>
  <si>
    <t xml:space="preserve">Total 17209501   OTROS                                             </t>
  </si>
  <si>
    <t xml:space="preserve">Total 17959597   ACTIVO POR IMPUESTOS DIFERIDO                     </t>
  </si>
  <si>
    <t xml:space="preserve">Total 17980501   COSTOS DE EXPLORACION POR AMORTIZAR               </t>
  </si>
  <si>
    <t xml:space="preserve">Total 17981001   COSTOS DE EXPLORACION Y DESARROLLO                </t>
  </si>
  <si>
    <t xml:space="preserve">Total 17989901   AJUSTES POR INFLACION                             </t>
  </si>
  <si>
    <t xml:space="preserve">Total 21150501   PAGARES                                           </t>
  </si>
  <si>
    <t xml:space="preserve">Total 21152001   CONTRATOS DE ARRENDAMIENTO FINANCIERO (LEASING)   </t>
  </si>
  <si>
    <t xml:space="preserve">Total 22050101   NACIONALES                                        </t>
  </si>
  <si>
    <t xml:space="preserve">Total 23350501   GASTOS FINANCIEROS MON NACIONAL                   </t>
  </si>
  <si>
    <t xml:space="preserve">Total 23351001   GASTOS LEGALES                                    </t>
  </si>
  <si>
    <t xml:space="preserve">Total 23352501   HONORARIOS                                        </t>
  </si>
  <si>
    <t xml:space="preserve">Total 23353501   SERVICIOS DE MANTENIMIENTO                        </t>
  </si>
  <si>
    <t xml:space="preserve">Total 23354001   ARRENDAMIENTOS                                    </t>
  </si>
  <si>
    <t xml:space="preserve">Total 23354501   TRANSPORTES  FLETES Y ACARREOS                    </t>
  </si>
  <si>
    <t xml:space="preserve">Total 23355501   SEGUROS                                           </t>
  </si>
  <si>
    <t xml:space="preserve">Total 23359501   OTROS                                             </t>
  </si>
  <si>
    <t xml:space="preserve">Total 23550501   ACCIONISTAS                                       </t>
  </si>
  <si>
    <t xml:space="preserve">Total 23650101   PAGO RETEFUENTE DIAN                              </t>
  </si>
  <si>
    <t xml:space="preserve">Total 23650501   SALARIOS Y PAGOS LABORALES                        </t>
  </si>
  <si>
    <t xml:space="preserve">Total 23651502   HONORARIOS PERSONAS JURIDICAS 11%                 </t>
  </si>
  <si>
    <t xml:space="preserve">Total 23652501   SERVICIOS PERSONAS JURIDICAS 4%                   </t>
  </si>
  <si>
    <t xml:space="preserve">Total 23652502   SERVICIOS PERSONAS NATURALES 6%                   </t>
  </si>
  <si>
    <t xml:space="preserve">Total 23652503   SERVICIOS TRANSPORTE DE CARGA 1%                  </t>
  </si>
  <si>
    <t xml:space="preserve">Total 23652505   SERVICIOS TRANSPORTE DE PASAJEROS 3.5%            </t>
  </si>
  <si>
    <t xml:space="preserve">Total 23652507   SERVICIOS HOTELES Y RESTAURANTES 3.5%             </t>
  </si>
  <si>
    <t>Total 23652509   SERVICIOS TRANSPORTE AEREO-MARITIMO 1% EMP. NACION</t>
  </si>
  <si>
    <t xml:space="preserve">Total 23654002   COMPRAS COMBUSTIBLES 0.1%                         </t>
  </si>
  <si>
    <t xml:space="preserve">Total 23654005   COMPRAS EN GENERAL 2.5%                           </t>
  </si>
  <si>
    <t xml:space="preserve">Total 23657502   AUTO RETENCION RENTA (ANTES CREE)                 </t>
  </si>
  <si>
    <t xml:space="preserve">Total 23680205   ICA BQ 12.5X1000 DEMAS ACTIVIDADES COM            </t>
  </si>
  <si>
    <t xml:space="preserve">Total 23680224   ICA JAGUA 217 10 0 X MIL DEMAS ACTIVIDAD COMERC   </t>
  </si>
  <si>
    <t xml:space="preserve">Total 23680306   ICA BQ 12 5 X 1000 DEMAS ACTIVIDADES DE SERVICIO  </t>
  </si>
  <si>
    <t xml:space="preserve">Total 23680324   ICA JAGUA 310 10 X MIL DEMAS ACTIV DE SERVI       </t>
  </si>
  <si>
    <t xml:space="preserve">Total 23681001   PAGO ICA DISTRITO BARRANQUILLA                    </t>
  </si>
  <si>
    <t xml:space="preserve">Total 23682001   PAGO ICA LA JAGUA DE IBIRICO                      </t>
  </si>
  <si>
    <t xml:space="preserve">Total 23700501   APORTES A ENTIDADES PROMOTORAS DE SALUD           </t>
  </si>
  <si>
    <t xml:space="preserve">Total 23700601   APORTES A ADMINISTRADORAS DE RIESGOS PRO          </t>
  </si>
  <si>
    <t xml:space="preserve">Total 23701001   APORTES AL I C B F   SENA Y CAJAS DE COM          </t>
  </si>
  <si>
    <t xml:space="preserve">Total 23709501   OTROS                                             </t>
  </si>
  <si>
    <t xml:space="preserve">Total 23803001   FONDOS DE CESANTIAS Y/O PENSIONES                 </t>
  </si>
  <si>
    <t xml:space="preserve">Total 23809501   OTROS                                             </t>
  </si>
  <si>
    <t xml:space="preserve">Total 23809502   OTROS MONEDA EXTRANJERA                           </t>
  </si>
  <si>
    <t xml:space="preserve">Total 24080325   IVA DESCONTABLE R.COMUN COMPRAS 19%               </t>
  </si>
  <si>
    <t xml:space="preserve">Total 24080326   IVA DESCONTABLE R.COMUN SERVICIO 19%              </t>
  </si>
  <si>
    <t xml:space="preserve">Total 24080327   IVA DESCONTABLE R.COMUN COMPRAS 5% CAYPA          </t>
  </si>
  <si>
    <t xml:space="preserve">Total 24080397   IVA DESCONTABLE IFRS                              </t>
  </si>
  <si>
    <t xml:space="preserve">Total 24121001   VIGENCIAS FISCALES ANTERIORES                     </t>
  </si>
  <si>
    <t xml:space="preserve">Total 25050501   SALARIOS POR PAGAR                                </t>
  </si>
  <si>
    <t xml:space="preserve">Total 25101001   LEY 50 DE 1990 Y NORMAS POSTERIORES               </t>
  </si>
  <si>
    <t xml:space="preserve">Total 25150501   INTERESES SOBRE CESANTIAS                         </t>
  </si>
  <si>
    <t xml:space="preserve">Total 25250501   VACACIONES CONSOLIDADAS                           </t>
  </si>
  <si>
    <t xml:space="preserve">Total 25300501   PRIMAS                                            </t>
  </si>
  <si>
    <t xml:space="preserve">Total 26050501   INTERESES                                         </t>
  </si>
  <si>
    <t xml:space="preserve">Total 26051501   HONORARIOS                                        </t>
  </si>
  <si>
    <t xml:space="preserve">Total 26054597   GARANTIAS IFRS                                    </t>
  </si>
  <si>
    <t xml:space="preserve">Total 26100501   CESANTIAS                                         </t>
  </si>
  <si>
    <t xml:space="preserve">Total 26101001   INTERESES SOBRE CESANTIAS                         </t>
  </si>
  <si>
    <t xml:space="preserve">Total 26101501   VACACIONES                                        </t>
  </si>
  <si>
    <t xml:space="preserve">Total 26102001   PRIMA DE SERVICIOS                                </t>
  </si>
  <si>
    <t xml:space="preserve">Total 26150597   DE RENTA Y COMPLEMENTARIOS IFRS                   </t>
  </si>
  <si>
    <t xml:space="preserve">Total 28050501   DE CLIENTES                                       </t>
  </si>
  <si>
    <t xml:space="preserve">Total 28059501   OTROS                                             </t>
  </si>
  <si>
    <t xml:space="preserve">Total 28150506   VALORES RECIBIDOS PARA TERCEROS                   </t>
  </si>
  <si>
    <t xml:space="preserve">Total 31050501   CAPITAL AUTORIZADO                                </t>
  </si>
  <si>
    <t xml:space="preserve">Total 31051001   CAPITAL POR SUSCRIBIR (DB)                        </t>
  </si>
  <si>
    <t xml:space="preserve">Total 32050501   PRIMA EN COLOCACION DE ACCIONES                   </t>
  </si>
  <si>
    <t xml:space="preserve">Total 32051001   PRIMA EN COLOCACION DE AQCCIONES POR COB          </t>
  </si>
  <si>
    <t xml:space="preserve">Total 33050501   RESERVA LEGAL                                     </t>
  </si>
  <si>
    <t xml:space="preserve">Total 36050501   UTILIDAD DEL EJERCICIO                            </t>
  </si>
  <si>
    <t xml:space="preserve">Total 36050597   UTILIDAD DEL EJERCICIO IFRS                       </t>
  </si>
  <si>
    <t xml:space="preserve">Total 37050201   UTILIDADES O EXCEDENTES ACUMULADOS GRAVADOS       </t>
  </si>
  <si>
    <t xml:space="preserve">Total 37100101   PERDIDAS ACUMULADAS                               </t>
  </si>
  <si>
    <t xml:space="preserve">Total 37100197   PERDIDAS ACUMULADAS IFRS                          </t>
  </si>
  <si>
    <t xml:space="preserve">Total 39050501   RESULTADOS ACUMULADOS POR ADOPCION DE NI          </t>
  </si>
  <si>
    <t xml:space="preserve">Total 41350881   POR PARTICIPACION EN PRODUCCION MINA              </t>
  </si>
  <si>
    <t xml:space="preserve">Total 41459501   TRANSPORTE DE MATERIALES Y RESPUESTOS             </t>
  </si>
  <si>
    <t xml:space="preserve">Total 41459597   TRANSPORTE DE MATERIALES Y RESPUESTOS IFRS        </t>
  </si>
  <si>
    <t xml:space="preserve">Total 42051001   MATERIAL DE DESECHO                               </t>
  </si>
  <si>
    <t xml:space="preserve">Total 42100502   INTERESES BANCARIOS Y DE INVERSIONES FINANCIERAS  </t>
  </si>
  <si>
    <t xml:space="preserve">Total 42755001   DEVOLUCIONES EN OTRAS VENTAS (DB)                 </t>
  </si>
  <si>
    <t xml:space="preserve">Total 51050601   SUELDOS                                           </t>
  </si>
  <si>
    <t xml:space="preserve">Total 51052701   AUXILIO DE TRANSPORTE                             </t>
  </si>
  <si>
    <t xml:space="preserve">Total 51053001   CESANTIAS                                         </t>
  </si>
  <si>
    <t xml:space="preserve">Total 51053301   INTERESES SOBRE CESANTIAS                         </t>
  </si>
  <si>
    <t xml:space="preserve">Total 51053601   PRIMA DE SERVICIOS                                </t>
  </si>
  <si>
    <t xml:space="preserve">Total 51053901   VACACIONES                                        </t>
  </si>
  <si>
    <t xml:space="preserve">Total 51056801   APORTES ADMINISTRADORAS DE RIESGOS PROFE          </t>
  </si>
  <si>
    <t xml:space="preserve">Total 51056901   APORTES A ENTIDADES PROMOTORAS DE SALUD           </t>
  </si>
  <si>
    <t xml:space="preserve">Total 51057001   APORTES FONDOS DE PENSIONES                       </t>
  </si>
  <si>
    <t xml:space="preserve">Total 51057201   APORTES CAJAS DE COMPESACION FAMILIAR             </t>
  </si>
  <si>
    <t xml:space="preserve">Total 51101001   REVISORIA FISCAL                                  </t>
  </si>
  <si>
    <t xml:space="preserve">Total 51102501   ASESORIA JURIDICA                                 </t>
  </si>
  <si>
    <t xml:space="preserve">Total 51109501   OTROS                                             </t>
  </si>
  <si>
    <t xml:space="preserve">Total 51150501   INDUSTRIA Y COMERCIO                              </t>
  </si>
  <si>
    <t xml:space="preserve">Total 51151501   A LA PROPIEDAD RAIZ                               </t>
  </si>
  <si>
    <t xml:space="preserve">Total 51157001   IVA DESCONTABLE                                   </t>
  </si>
  <si>
    <t xml:space="preserve">Total 51157097   IVA DESCONTABLE IFRS                              </t>
  </si>
  <si>
    <t xml:space="preserve">Total 51159501   GRAVAMEN AL MOVIMIENTO FINANCIERO DEDUCIBLE       </t>
  </si>
  <si>
    <t xml:space="preserve">Total 51159502   GRAVAMEN AL MOVIMIENTO FINANCIERO NO DEDUCIBLE    </t>
  </si>
  <si>
    <t xml:space="preserve">Total 51159504   OTROS                                             </t>
  </si>
  <si>
    <t xml:space="preserve">Total 51301001   CUMPLIMIENTO                                      </t>
  </si>
  <si>
    <t xml:space="preserve">Total 51350501   ASEO Y VIGILANCIA                                 </t>
  </si>
  <si>
    <t xml:space="preserve">Total 51401001   REGISTRO MERCANTIL                                </t>
  </si>
  <si>
    <t xml:space="preserve">Total 51409501   OTROS                                             </t>
  </si>
  <si>
    <t xml:space="preserve">Total 51659501   OTRAS                                             </t>
  </si>
  <si>
    <t xml:space="preserve">Total 53050501   GASTOS BANCARIOS                                  </t>
  </si>
  <si>
    <t xml:space="preserve">Total 53051501   COMISIONES  BANCARIAS                             </t>
  </si>
  <si>
    <t xml:space="preserve">Total 53052003   INTERESES DE TERCEROS                             </t>
  </si>
  <si>
    <t xml:space="preserve">Total 53150501   COSTAS Y PROCESOS JUDICIALES                      </t>
  </si>
  <si>
    <t xml:space="preserve">Total 53151501   COSTOS Y GASTOS DE EJERCICIOS ANTERIORES          </t>
  </si>
  <si>
    <t xml:space="preserve">Total 53152002   IMPUESTOS ASUMIDOS RETENCION EN LA FUENTE         </t>
  </si>
  <si>
    <t xml:space="preserve">Total 53152005   IMPUESTOS ASUMIDOS ICA                            </t>
  </si>
  <si>
    <t xml:space="preserve">Total 53152097   IMPUESTOS ASUMIDOS IFRS                           </t>
  </si>
  <si>
    <t xml:space="preserve">Total 53959501   AJUSTE AL PESO                                    </t>
  </si>
  <si>
    <t xml:space="preserve">Total 53959505   OTROS                                             </t>
  </si>
  <si>
    <t xml:space="preserve">Total 54050597   IMPUESTO DE RENTA Y COMPLEMENTARIOS IFRS          </t>
  </si>
  <si>
    <t xml:space="preserve">Total 54050697   IMPUESTO DIFERIDO IFRS                            </t>
  </si>
  <si>
    <t xml:space="preserve">Total 72050601   SUELDOS                                           </t>
  </si>
  <si>
    <t xml:space="preserve">Total 72053001   CESANTIAS                                         </t>
  </si>
  <si>
    <t xml:space="preserve">Total 72053301   INTERESES SOBRE CESANTIAS                         </t>
  </si>
  <si>
    <t xml:space="preserve">Total 72053601   PRIMA                                             </t>
  </si>
  <si>
    <t xml:space="preserve">Total 72053901   VACACIONES                                        </t>
  </si>
  <si>
    <t xml:space="preserve">Total 72055101   DOTACION Y SUMINISTRO A TRABAJADORES              </t>
  </si>
  <si>
    <t xml:space="preserve">Total 72056801   RIESGOS LABORALES                                 </t>
  </si>
  <si>
    <t xml:space="preserve">Total 72057001   APORTES A FONDOS DE PENSIONES Y/O CESANT          </t>
  </si>
  <si>
    <t xml:space="preserve">Total 72057201   APORTES A CAJAS DE COMPENSACION FAMILIAR          </t>
  </si>
  <si>
    <t xml:space="preserve">Total 73109501   HONORARIOS INDEPENDIENTES                         </t>
  </si>
  <si>
    <t xml:space="preserve">Total 73109502   OTROS HONORARIOS                                  </t>
  </si>
  <si>
    <t xml:space="preserve">Total 73350501   ASEO Y VIGILANCIA                                 </t>
  </si>
  <si>
    <t xml:space="preserve">Total 73353001   ENERGIA ELECTRICA                                 </t>
  </si>
  <si>
    <t xml:space="preserve">Total 73355003   OTROS TRANSPORTES                                 </t>
  </si>
  <si>
    <t xml:space="preserve">Total 73359595   OTROS SERVICIOS                                   </t>
  </si>
  <si>
    <t xml:space="preserve">Total 73451501   MAQUINARIA Y EQUIPO                               </t>
  </si>
  <si>
    <t xml:space="preserve">Total 73452501   EQUIPO DE COMPUTACION Y COMUNICACION              </t>
  </si>
  <si>
    <t xml:space="preserve">Total 73454001   FLOTA Y EQUIPO DE TRANSPORTE                      </t>
  </si>
  <si>
    <t xml:space="preserve">Total 73500501   INSTALACIONES ELECTRICAS                          </t>
  </si>
  <si>
    <t xml:space="preserve">Total 73550501   ALOJAMIENTO Y MANUTENCION                         </t>
  </si>
  <si>
    <t xml:space="preserve">Total 73551501   PASAJES AEREOS                                    </t>
  </si>
  <si>
    <t xml:space="preserve">Total 73952501   ELEMENTOS DE ASEO Y CAFETERIA                     </t>
  </si>
  <si>
    <t xml:space="preserve">Total 73953001   UTILES  PAPELERIA Y FOTOCOPIAS                    </t>
  </si>
  <si>
    <t xml:space="preserve">Total 73953501   COMBUSTIBLES Y LUBRICANTES                        </t>
  </si>
  <si>
    <t xml:space="preserve">Total 73954501   TAXIS Y BUSES                                     </t>
  </si>
  <si>
    <t xml:space="preserve">Total 73956001   CASINO Y RESTAURANTE                              </t>
  </si>
  <si>
    <t xml:space="preserve">Total 73956501   PARQUEADEROS Y PEAJES                             </t>
  </si>
  <si>
    <t xml:space="preserve">Total 73959503   OTROS                                             </t>
  </si>
  <si>
    <t xml:space="preserve">Total 73959505   MANEJO AMBIENTAL MINA                             </t>
  </si>
  <si>
    <t>Total general</t>
  </si>
  <si>
    <t>Procesado en: 2026/08/04  12:24:43:24</t>
  </si>
  <si>
    <t>De: JUL  1/2026 A: JUL 31/2026</t>
  </si>
  <si>
    <t>MOVIMIENTO CUENTAS - GENERAL</t>
  </si>
  <si>
    <t>Siigo - NORCARBON SOCIEDAD POR ACCIONES SIMPLIFICADA</t>
  </si>
  <si>
    <t>JUL/31/2026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</si>
</sst>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3"/>
  <sheetViews>
    <sheetView tabSelected="1" workbookViewId="0">
      <selection sqref="A1:O1"/>
    </sheetView>
  </sheetViews>
  <sheetFormatPr baseColWidth="10" defaultRowHeight="12.75" outlineLevelRow="2"/>
  <cols>
    <col min="1" max="1" width="83.5703125" style="2" bestFit="1" customWidth="1"/>
    <col min="2" max="2" width="12.28515625" style="2" hidden="1" customWidth="1"/>
    <col min="3" max="3" width="60.28515625" style="2" hidden="1" customWidth="1"/>
    <col min="4" max="4" width="21.85546875" style="3" bestFit="1" customWidth="1"/>
    <col min="5" max="5" width="24.140625" style="2" bestFit="1" customWidth="1"/>
    <col min="6" max="6" width="11.85546875" style="4" bestFit="1" customWidth="1"/>
    <col min="7" max="7" width="15.42578125" style="5" bestFit="1" customWidth="1"/>
    <col min="8" max="8" width="133.85546875" style="2" bestFit="1" customWidth="1"/>
    <col min="9" max="9" width="60.85546875" style="2" bestFit="1" customWidth="1"/>
    <col min="10" max="10" width="74.140625" style="2" bestFit="1" customWidth="1"/>
    <col min="11" max="11" width="14.28515625" style="3" bestFit="1" customWidth="1"/>
    <col min="12" max="12" width="9.7109375" style="2" bestFit="1" customWidth="1"/>
    <col min="13" max="14" width="16.7109375" style="3" bestFit="1" customWidth="1"/>
    <col min="15" max="15" width="21.85546875" style="3" bestFit="1" customWidth="1"/>
    <col min="16" max="16" width="255.7109375" style="2" hidden="1" customWidth="1"/>
    <col min="17" max="16384" width="11.42578125" style="1"/>
  </cols>
  <sheetData>
    <row r="1" spans="1:16" ht="15">
      <c r="A1" s="15" t="s">
        <v>1072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9" t="s">
        <v>1073</v>
      </c>
    </row>
    <row r="2" spans="1:16" ht="23.25">
      <c r="A2" s="17" t="s">
        <v>1071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3.25">
      <c r="A3" s="17" t="s">
        <v>1070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>
      <c r="A4" s="6"/>
      <c r="B4" s="6"/>
      <c r="C4" s="6"/>
      <c r="D4" s="7"/>
      <c r="E4" s="6"/>
      <c r="F4" s="8"/>
      <c r="G4" s="9"/>
      <c r="H4" s="6"/>
      <c r="I4" s="6"/>
      <c r="J4" s="6"/>
      <c r="K4" s="7"/>
      <c r="L4" s="6"/>
      <c r="M4" s="7"/>
      <c r="N4" s="7"/>
      <c r="O4" s="7"/>
      <c r="P4" s="6"/>
    </row>
    <row r="5" spans="1:16" ht="15">
      <c r="A5" s="15" t="s">
        <v>1069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7" spans="1:16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2" t="s">
        <v>5</v>
      </c>
      <c r="G7" s="13" t="s">
        <v>6</v>
      </c>
      <c r="H7" s="10" t="s">
        <v>7</v>
      </c>
      <c r="I7" s="10" t="s">
        <v>2</v>
      </c>
      <c r="J7" s="10" t="s">
        <v>8</v>
      </c>
      <c r="K7" s="11" t="s">
        <v>9</v>
      </c>
      <c r="L7" s="10" t="s">
        <v>10</v>
      </c>
      <c r="M7" s="11" t="s">
        <v>11</v>
      </c>
      <c r="N7" s="11" t="s">
        <v>12</v>
      </c>
      <c r="O7" s="11" t="s">
        <v>13</v>
      </c>
      <c r="P7" s="10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700000</v>
      </c>
      <c r="E8" s="2" t="s">
        <v>18</v>
      </c>
      <c r="F8" s="4" t="s">
        <v>19</v>
      </c>
      <c r="G8" s="5" t="s">
        <v>20</v>
      </c>
      <c r="H8" s="2" t="s">
        <v>21</v>
      </c>
      <c r="I8" s="2" t="s">
        <v>22</v>
      </c>
      <c r="J8" s="2" t="s">
        <v>23</v>
      </c>
      <c r="K8" s="3" t="s">
        <v>24</v>
      </c>
      <c r="L8" s="2" t="s">
        <v>25</v>
      </c>
      <c r="M8" s="3" t="s">
        <v>26</v>
      </c>
      <c r="N8" s="3" t="s">
        <v>26</v>
      </c>
      <c r="O8" s="3">
        <v>700000</v>
      </c>
      <c r="P8" s="2" t="s">
        <v>27</v>
      </c>
    </row>
    <row r="9" spans="1:16" outlineLevel="1">
      <c r="A9" s="14" t="s">
        <v>876</v>
      </c>
      <c r="M9" s="3">
        <f>SUBTOTAL(9,M8:M8)</f>
        <v>0</v>
      </c>
      <c r="N9" s="3">
        <f>SUBTOTAL(9,N8:N8)</f>
        <v>0</v>
      </c>
    </row>
    <row r="10" spans="1:16" outlineLevel="2">
      <c r="A10" s="2" t="s">
        <v>28</v>
      </c>
      <c r="B10" s="2" t="s">
        <v>29</v>
      </c>
      <c r="C10" s="2" t="s">
        <v>30</v>
      </c>
      <c r="D10" s="3">
        <v>1721545.26</v>
      </c>
      <c r="E10" s="2" t="s">
        <v>18</v>
      </c>
      <c r="F10" s="4" t="s">
        <v>19</v>
      </c>
      <c r="G10" s="5" t="s">
        <v>20</v>
      </c>
      <c r="H10" s="2" t="s">
        <v>21</v>
      </c>
      <c r="I10" s="2" t="s">
        <v>22</v>
      </c>
      <c r="J10" s="2" t="s">
        <v>23</v>
      </c>
      <c r="K10" s="3" t="s">
        <v>24</v>
      </c>
      <c r="L10" s="2" t="s">
        <v>25</v>
      </c>
      <c r="M10" s="3" t="s">
        <v>26</v>
      </c>
      <c r="N10" s="3" t="s">
        <v>26</v>
      </c>
      <c r="O10" s="3">
        <v>1721545.26</v>
      </c>
      <c r="P10" s="2" t="s">
        <v>27</v>
      </c>
    </row>
    <row r="11" spans="1:16" outlineLevel="1">
      <c r="A11" s="14" t="s">
        <v>877</v>
      </c>
      <c r="M11" s="3">
        <f>SUBTOTAL(9,M10:M10)</f>
        <v>0</v>
      </c>
      <c r="N11" s="3">
        <f>SUBTOTAL(9,N10:N10)</f>
        <v>0</v>
      </c>
    </row>
    <row r="12" spans="1:16" outlineLevel="2">
      <c r="A12" s="2" t="s">
        <v>31</v>
      </c>
      <c r="B12" s="2" t="s">
        <v>32</v>
      </c>
      <c r="C12" s="2" t="s">
        <v>33</v>
      </c>
      <c r="D12" s="3">
        <v>2521.58</v>
      </c>
      <c r="E12" s="2" t="s">
        <v>18</v>
      </c>
      <c r="F12" s="4" t="s">
        <v>19</v>
      </c>
      <c r="G12" s="5" t="s">
        <v>20</v>
      </c>
      <c r="H12" s="2" t="s">
        <v>21</v>
      </c>
      <c r="I12" s="2" t="s">
        <v>22</v>
      </c>
      <c r="J12" s="2" t="s">
        <v>23</v>
      </c>
      <c r="K12" s="3" t="s">
        <v>24</v>
      </c>
      <c r="L12" s="2" t="s">
        <v>25</v>
      </c>
      <c r="M12" s="3" t="s">
        <v>26</v>
      </c>
      <c r="N12" s="3" t="s">
        <v>26</v>
      </c>
      <c r="O12" s="3">
        <v>2521.58</v>
      </c>
      <c r="P12" s="2" t="s">
        <v>27</v>
      </c>
    </row>
    <row r="13" spans="1:16" outlineLevel="1">
      <c r="A13" s="14" t="s">
        <v>878</v>
      </c>
      <c r="M13" s="3">
        <f>SUBTOTAL(9,M12:M12)</f>
        <v>0</v>
      </c>
      <c r="N13" s="3">
        <f>SUBTOTAL(9,N12:N12)</f>
        <v>0</v>
      </c>
    </row>
    <row r="14" spans="1:16" outlineLevel="2">
      <c r="A14" s="2" t="s">
        <v>34</v>
      </c>
      <c r="B14" s="2" t="s">
        <v>35</v>
      </c>
      <c r="C14" s="2" t="s">
        <v>36</v>
      </c>
      <c r="D14" s="3">
        <v>0</v>
      </c>
      <c r="E14" s="2" t="s">
        <v>37</v>
      </c>
      <c r="F14" s="4" t="s">
        <v>19</v>
      </c>
      <c r="G14" s="5">
        <v>0</v>
      </c>
      <c r="H14" s="2" t="s">
        <v>21</v>
      </c>
      <c r="I14" s="2" t="s">
        <v>22</v>
      </c>
      <c r="J14" s="2" t="s">
        <v>23</v>
      </c>
      <c r="K14" s="3" t="s">
        <v>24</v>
      </c>
      <c r="L14" s="2" t="s">
        <v>25</v>
      </c>
      <c r="M14" s="3">
        <v>0</v>
      </c>
      <c r="N14" s="3">
        <v>0</v>
      </c>
      <c r="O14" s="3">
        <v>0</v>
      </c>
      <c r="P14" s="2" t="s">
        <v>27</v>
      </c>
    </row>
    <row r="15" spans="1:16" outlineLevel="1">
      <c r="A15" s="14" t="s">
        <v>879</v>
      </c>
      <c r="M15" s="3">
        <f>SUBTOTAL(9,M14:M14)</f>
        <v>0</v>
      </c>
      <c r="N15" s="3">
        <f>SUBTOTAL(9,N14:N14)</f>
        <v>0</v>
      </c>
    </row>
    <row r="16" spans="1:16" outlineLevel="2">
      <c r="A16" s="2" t="s">
        <v>38</v>
      </c>
      <c r="B16" s="2" t="s">
        <v>39</v>
      </c>
      <c r="C16" s="2" t="s">
        <v>40</v>
      </c>
      <c r="D16" s="3">
        <v>2208672.2999999998</v>
      </c>
      <c r="E16" s="2" t="s">
        <v>18</v>
      </c>
      <c r="F16" s="4" t="s">
        <v>19</v>
      </c>
      <c r="G16" s="5" t="s">
        <v>20</v>
      </c>
      <c r="H16" s="2" t="s">
        <v>21</v>
      </c>
      <c r="I16" s="2" t="s">
        <v>22</v>
      </c>
      <c r="J16" s="2" t="s">
        <v>23</v>
      </c>
      <c r="K16" s="3" t="s">
        <v>24</v>
      </c>
      <c r="L16" s="2" t="s">
        <v>25</v>
      </c>
      <c r="M16" s="3" t="s">
        <v>26</v>
      </c>
      <c r="N16" s="3" t="s">
        <v>26</v>
      </c>
      <c r="O16" s="3">
        <v>2208672.2999999998</v>
      </c>
      <c r="P16" s="2" t="s">
        <v>27</v>
      </c>
    </row>
    <row r="17" spans="1:16" outlineLevel="1">
      <c r="A17" s="14" t="s">
        <v>880</v>
      </c>
      <c r="M17" s="3">
        <f>SUBTOTAL(9,M16:M16)</f>
        <v>0</v>
      </c>
      <c r="N17" s="3">
        <f>SUBTOTAL(9,N16:N16)</f>
        <v>0</v>
      </c>
    </row>
    <row r="18" spans="1:16" outlineLevel="2">
      <c r="A18" s="2" t="s">
        <v>41</v>
      </c>
      <c r="B18" s="2" t="s">
        <v>42</v>
      </c>
      <c r="C18" s="2" t="s">
        <v>43</v>
      </c>
      <c r="D18" s="3">
        <v>20000000</v>
      </c>
      <c r="E18" s="2" t="s">
        <v>18</v>
      </c>
      <c r="F18" s="4" t="s">
        <v>19</v>
      </c>
      <c r="G18" s="5" t="s">
        <v>20</v>
      </c>
      <c r="H18" s="2" t="s">
        <v>21</v>
      </c>
      <c r="I18" s="2" t="s">
        <v>22</v>
      </c>
      <c r="J18" s="2" t="s">
        <v>23</v>
      </c>
      <c r="K18" s="3" t="s">
        <v>24</v>
      </c>
      <c r="L18" s="2" t="s">
        <v>25</v>
      </c>
      <c r="M18" s="3" t="s">
        <v>26</v>
      </c>
      <c r="N18" s="3" t="s">
        <v>26</v>
      </c>
      <c r="O18" s="3">
        <v>20000000</v>
      </c>
      <c r="P18" s="2" t="s">
        <v>27</v>
      </c>
    </row>
    <row r="19" spans="1:16" outlineLevel="1">
      <c r="A19" s="14" t="s">
        <v>881</v>
      </c>
      <c r="M19" s="3">
        <f>SUBTOTAL(9,M18:M18)</f>
        <v>0</v>
      </c>
      <c r="N19" s="3">
        <f>SUBTOTAL(9,N18:N18)</f>
        <v>0</v>
      </c>
    </row>
    <row r="20" spans="1:16" outlineLevel="2">
      <c r="A20" s="2" t="s">
        <v>44</v>
      </c>
      <c r="B20" s="2" t="s">
        <v>45</v>
      </c>
      <c r="C20" s="2" t="s">
        <v>46</v>
      </c>
      <c r="D20" s="3">
        <v>3597965.59</v>
      </c>
      <c r="E20" s="2" t="s">
        <v>47</v>
      </c>
      <c r="F20" s="4">
        <v>46204</v>
      </c>
      <c r="G20" s="5">
        <v>0</v>
      </c>
      <c r="H20" s="2" t="s">
        <v>21</v>
      </c>
      <c r="I20" s="2" t="s">
        <v>46</v>
      </c>
      <c r="J20" s="2" t="s">
        <v>23</v>
      </c>
      <c r="K20" s="3" t="s">
        <v>24</v>
      </c>
      <c r="L20" s="2" t="s">
        <v>25</v>
      </c>
      <c r="M20" s="3">
        <v>54949.24</v>
      </c>
      <c r="N20" s="3" t="s">
        <v>26</v>
      </c>
      <c r="O20" s="3">
        <v>3652914.83</v>
      </c>
      <c r="P20" s="2" t="s">
        <v>27</v>
      </c>
    </row>
    <row r="21" spans="1:16" outlineLevel="2">
      <c r="A21" s="2" t="s">
        <v>44</v>
      </c>
      <c r="B21" s="2" t="s">
        <v>45</v>
      </c>
      <c r="C21" s="2" t="s">
        <v>46</v>
      </c>
      <c r="D21" s="3">
        <v>3597965.59</v>
      </c>
      <c r="E21" s="2" t="s">
        <v>48</v>
      </c>
      <c r="F21" s="4">
        <v>46205</v>
      </c>
      <c r="G21" s="5">
        <v>0</v>
      </c>
      <c r="H21" s="2" t="s">
        <v>21</v>
      </c>
      <c r="I21" s="2" t="s">
        <v>49</v>
      </c>
      <c r="J21" s="2" t="s">
        <v>23</v>
      </c>
      <c r="K21" s="3" t="s">
        <v>24</v>
      </c>
      <c r="L21" s="2" t="s">
        <v>25</v>
      </c>
      <c r="M21" s="3" t="s">
        <v>26</v>
      </c>
      <c r="N21" s="3">
        <v>1837680</v>
      </c>
      <c r="O21" s="3">
        <v>1815234.83</v>
      </c>
      <c r="P21" s="2" t="s">
        <v>27</v>
      </c>
    </row>
    <row r="22" spans="1:16" outlineLevel="2">
      <c r="A22" s="2" t="s">
        <v>44</v>
      </c>
      <c r="B22" s="2" t="s">
        <v>45</v>
      </c>
      <c r="C22" s="2" t="s">
        <v>46</v>
      </c>
      <c r="D22" s="3">
        <v>3597965.59</v>
      </c>
      <c r="E22" s="2" t="s">
        <v>50</v>
      </c>
      <c r="F22" s="4">
        <v>46205</v>
      </c>
      <c r="G22" s="5">
        <v>0</v>
      </c>
      <c r="H22" s="2" t="s">
        <v>21</v>
      </c>
      <c r="I22" s="2" t="s">
        <v>51</v>
      </c>
      <c r="J22" s="2" t="s">
        <v>23</v>
      </c>
      <c r="K22" s="3" t="s">
        <v>24</v>
      </c>
      <c r="L22" s="2" t="s">
        <v>25</v>
      </c>
      <c r="M22" s="3" t="s">
        <v>26</v>
      </c>
      <c r="N22" s="3">
        <v>330030</v>
      </c>
      <c r="O22" s="3">
        <v>1485204.83</v>
      </c>
      <c r="P22" s="2" t="s">
        <v>27</v>
      </c>
    </row>
    <row r="23" spans="1:16" outlineLevel="2">
      <c r="A23" s="2" t="s">
        <v>44</v>
      </c>
      <c r="B23" s="2" t="s">
        <v>45</v>
      </c>
      <c r="C23" s="2" t="s">
        <v>46</v>
      </c>
      <c r="D23" s="3">
        <v>3597965.59</v>
      </c>
      <c r="E23" s="2" t="s">
        <v>52</v>
      </c>
      <c r="F23" s="4">
        <v>46210</v>
      </c>
      <c r="G23" s="5">
        <v>0</v>
      </c>
      <c r="H23" s="2" t="s">
        <v>21</v>
      </c>
      <c r="I23" s="2" t="s">
        <v>53</v>
      </c>
      <c r="J23" s="2" t="s">
        <v>23</v>
      </c>
      <c r="K23" s="3" t="s">
        <v>24</v>
      </c>
      <c r="L23" s="2" t="s">
        <v>25</v>
      </c>
      <c r="M23" s="3" t="s">
        <v>26</v>
      </c>
      <c r="N23" s="3">
        <v>184000</v>
      </c>
      <c r="O23" s="3">
        <v>1301204.83</v>
      </c>
      <c r="P23" s="2" t="s">
        <v>27</v>
      </c>
    </row>
    <row r="24" spans="1:16" outlineLevel="2">
      <c r="A24" s="2" t="s">
        <v>44</v>
      </c>
      <c r="B24" s="2" t="s">
        <v>45</v>
      </c>
      <c r="C24" s="2" t="s">
        <v>46</v>
      </c>
      <c r="D24" s="3">
        <v>3597965.59</v>
      </c>
      <c r="E24" s="2" t="s">
        <v>54</v>
      </c>
      <c r="F24" s="4">
        <v>46210</v>
      </c>
      <c r="G24" s="5">
        <v>0</v>
      </c>
      <c r="H24" s="2" t="s">
        <v>21</v>
      </c>
      <c r="I24" s="2" t="s">
        <v>55</v>
      </c>
      <c r="J24" s="2" t="s">
        <v>23</v>
      </c>
      <c r="K24" s="3" t="s">
        <v>24</v>
      </c>
      <c r="L24" s="2" t="s">
        <v>25</v>
      </c>
      <c r="M24" s="3" t="s">
        <v>26</v>
      </c>
      <c r="N24" s="3">
        <v>24000</v>
      </c>
      <c r="O24" s="3">
        <v>1277204.83</v>
      </c>
      <c r="P24" s="2" t="s">
        <v>27</v>
      </c>
    </row>
    <row r="25" spans="1:16" outlineLevel="2">
      <c r="A25" s="2" t="s">
        <v>44</v>
      </c>
      <c r="B25" s="2" t="s">
        <v>45</v>
      </c>
      <c r="C25" s="2" t="s">
        <v>46</v>
      </c>
      <c r="D25" s="3">
        <v>3597965.59</v>
      </c>
      <c r="E25" s="2" t="s">
        <v>56</v>
      </c>
      <c r="F25" s="4">
        <v>46217</v>
      </c>
      <c r="G25" s="5">
        <v>0</v>
      </c>
      <c r="H25" s="2" t="s">
        <v>21</v>
      </c>
      <c r="I25" s="2" t="s">
        <v>57</v>
      </c>
      <c r="J25" s="2" t="s">
        <v>23</v>
      </c>
      <c r="K25" s="3" t="s">
        <v>24</v>
      </c>
      <c r="L25" s="2" t="s">
        <v>25</v>
      </c>
      <c r="M25" s="3" t="s">
        <v>26</v>
      </c>
      <c r="N25" s="3">
        <v>859800</v>
      </c>
      <c r="O25" s="3">
        <v>417404.83</v>
      </c>
      <c r="P25" s="2" t="s">
        <v>27</v>
      </c>
    </row>
    <row r="26" spans="1:16" outlineLevel="2">
      <c r="A26" s="2" t="s">
        <v>44</v>
      </c>
      <c r="B26" s="2" t="s">
        <v>45</v>
      </c>
      <c r="C26" s="2" t="s">
        <v>46</v>
      </c>
      <c r="D26" s="3">
        <v>3597965.59</v>
      </c>
      <c r="E26" s="2" t="s">
        <v>58</v>
      </c>
      <c r="F26" s="4">
        <v>46219</v>
      </c>
      <c r="G26" s="5">
        <v>0</v>
      </c>
      <c r="H26" s="2" t="s">
        <v>21</v>
      </c>
      <c r="I26" s="2" t="s">
        <v>51</v>
      </c>
      <c r="J26" s="2" t="s">
        <v>23</v>
      </c>
      <c r="K26" s="3" t="s">
        <v>24</v>
      </c>
      <c r="L26" s="2" t="s">
        <v>25</v>
      </c>
      <c r="M26" s="3" t="s">
        <v>26</v>
      </c>
      <c r="N26" s="3">
        <v>240285</v>
      </c>
      <c r="O26" s="3">
        <v>177119.83</v>
      </c>
      <c r="P26" s="2" t="s">
        <v>27</v>
      </c>
    </row>
    <row r="27" spans="1:16" outlineLevel="2">
      <c r="A27" s="2" t="s">
        <v>44</v>
      </c>
      <c r="B27" s="2" t="s">
        <v>45</v>
      </c>
      <c r="C27" s="2" t="s">
        <v>46</v>
      </c>
      <c r="D27" s="3">
        <v>3597965.59</v>
      </c>
      <c r="E27" s="2" t="s">
        <v>59</v>
      </c>
      <c r="F27" s="4">
        <v>46219</v>
      </c>
      <c r="G27" s="5">
        <v>0</v>
      </c>
      <c r="H27" s="2" t="s">
        <v>21</v>
      </c>
      <c r="I27" s="2" t="s">
        <v>60</v>
      </c>
      <c r="J27" s="2" t="s">
        <v>23</v>
      </c>
      <c r="K27" s="3" t="s">
        <v>24</v>
      </c>
      <c r="L27" s="2" t="s">
        <v>25</v>
      </c>
      <c r="M27" s="3">
        <v>10000000</v>
      </c>
      <c r="N27" s="3" t="s">
        <v>26</v>
      </c>
      <c r="O27" s="3">
        <v>10177119.83</v>
      </c>
      <c r="P27" s="2" t="s">
        <v>27</v>
      </c>
    </row>
    <row r="28" spans="1:16" outlineLevel="2">
      <c r="A28" s="2" t="s">
        <v>44</v>
      </c>
      <c r="B28" s="2" t="s">
        <v>45</v>
      </c>
      <c r="C28" s="2" t="s">
        <v>46</v>
      </c>
      <c r="D28" s="3">
        <v>3597965.59</v>
      </c>
      <c r="E28" s="2" t="s">
        <v>61</v>
      </c>
      <c r="F28" s="4">
        <v>46224</v>
      </c>
      <c r="G28" s="5">
        <v>0</v>
      </c>
      <c r="H28" s="2" t="s">
        <v>21</v>
      </c>
      <c r="I28" s="2" t="s">
        <v>62</v>
      </c>
      <c r="J28" s="2" t="s">
        <v>23</v>
      </c>
      <c r="K28" s="3" t="s">
        <v>24</v>
      </c>
      <c r="L28" s="2" t="s">
        <v>25</v>
      </c>
      <c r="M28" s="3" t="s">
        <v>26</v>
      </c>
      <c r="N28" s="3">
        <v>321456.27</v>
      </c>
      <c r="O28" s="3">
        <v>9855663.5600000005</v>
      </c>
      <c r="P28" s="2" t="s">
        <v>27</v>
      </c>
    </row>
    <row r="29" spans="1:16" outlineLevel="2">
      <c r="A29" s="2" t="s">
        <v>44</v>
      </c>
      <c r="B29" s="2" t="s">
        <v>45</v>
      </c>
      <c r="C29" s="2" t="s">
        <v>46</v>
      </c>
      <c r="D29" s="3">
        <v>3597965.59</v>
      </c>
      <c r="E29" s="2" t="s">
        <v>63</v>
      </c>
      <c r="F29" s="4">
        <v>46224</v>
      </c>
      <c r="G29" s="5">
        <v>0</v>
      </c>
      <c r="H29" s="2" t="s">
        <v>21</v>
      </c>
      <c r="I29" s="2" t="s">
        <v>64</v>
      </c>
      <c r="J29" s="2" t="s">
        <v>23</v>
      </c>
      <c r="K29" s="3" t="s">
        <v>24</v>
      </c>
      <c r="L29" s="2" t="s">
        <v>25</v>
      </c>
      <c r="M29" s="3" t="s">
        <v>26</v>
      </c>
      <c r="N29" s="3">
        <v>394975</v>
      </c>
      <c r="O29" s="3">
        <v>9460688.5600000005</v>
      </c>
      <c r="P29" s="2" t="s">
        <v>27</v>
      </c>
    </row>
    <row r="30" spans="1:16" outlineLevel="2">
      <c r="A30" s="2" t="s">
        <v>44</v>
      </c>
      <c r="B30" s="2" t="s">
        <v>45</v>
      </c>
      <c r="C30" s="2" t="s">
        <v>46</v>
      </c>
      <c r="D30" s="3">
        <v>3597965.59</v>
      </c>
      <c r="E30" s="2" t="s">
        <v>65</v>
      </c>
      <c r="F30" s="4">
        <v>46224</v>
      </c>
      <c r="G30" s="5">
        <v>0</v>
      </c>
      <c r="H30" s="2" t="s">
        <v>21</v>
      </c>
      <c r="I30" s="2" t="s">
        <v>66</v>
      </c>
      <c r="J30" s="2" t="s">
        <v>23</v>
      </c>
      <c r="K30" s="3" t="s">
        <v>24</v>
      </c>
      <c r="L30" s="2" t="s">
        <v>25</v>
      </c>
      <c r="M30" s="3" t="s">
        <v>26</v>
      </c>
      <c r="N30" s="3">
        <v>865260</v>
      </c>
      <c r="O30" s="3">
        <v>8595428.5600000005</v>
      </c>
      <c r="P30" s="2" t="s">
        <v>27</v>
      </c>
    </row>
    <row r="31" spans="1:16" outlineLevel="2">
      <c r="A31" s="2" t="s">
        <v>44</v>
      </c>
      <c r="B31" s="2" t="s">
        <v>45</v>
      </c>
      <c r="C31" s="2" t="s">
        <v>46</v>
      </c>
      <c r="D31" s="3">
        <v>3597965.59</v>
      </c>
      <c r="E31" s="2" t="s">
        <v>67</v>
      </c>
      <c r="F31" s="4">
        <v>46232</v>
      </c>
      <c r="G31" s="5">
        <v>0</v>
      </c>
      <c r="H31" s="2" t="s">
        <v>21</v>
      </c>
      <c r="I31" s="2" t="s">
        <v>60</v>
      </c>
      <c r="J31" s="2" t="s">
        <v>23</v>
      </c>
      <c r="K31" s="3" t="s">
        <v>24</v>
      </c>
      <c r="L31" s="2" t="s">
        <v>25</v>
      </c>
      <c r="M31" s="3">
        <v>15000000</v>
      </c>
      <c r="N31" s="3" t="s">
        <v>26</v>
      </c>
      <c r="O31" s="3">
        <v>23595428.559999999</v>
      </c>
      <c r="P31" s="2" t="s">
        <v>27</v>
      </c>
    </row>
    <row r="32" spans="1:16" outlineLevel="2">
      <c r="A32" s="2" t="s">
        <v>44</v>
      </c>
      <c r="B32" s="2" t="s">
        <v>45</v>
      </c>
      <c r="C32" s="2" t="s">
        <v>46</v>
      </c>
      <c r="D32" s="3">
        <v>3597965.59</v>
      </c>
      <c r="E32" s="2" t="s">
        <v>68</v>
      </c>
      <c r="F32" s="4">
        <v>46233</v>
      </c>
      <c r="G32" s="5">
        <v>0</v>
      </c>
      <c r="H32" s="2" t="s">
        <v>21</v>
      </c>
      <c r="I32" s="2" t="s">
        <v>60</v>
      </c>
      <c r="J32" s="2" t="s">
        <v>23</v>
      </c>
      <c r="K32" s="3" t="s">
        <v>24</v>
      </c>
      <c r="L32" s="2" t="s">
        <v>25</v>
      </c>
      <c r="M32" s="3">
        <v>177000000</v>
      </c>
      <c r="N32" s="3" t="s">
        <v>26</v>
      </c>
      <c r="O32" s="3">
        <v>200595428.56</v>
      </c>
      <c r="P32" s="2" t="s">
        <v>27</v>
      </c>
    </row>
    <row r="33" spans="1:16" outlineLevel="1">
      <c r="A33" s="14" t="s">
        <v>882</v>
      </c>
      <c r="M33" s="3">
        <f>SUBTOTAL(9,M20:M32)</f>
        <v>202054949.24000001</v>
      </c>
      <c r="N33" s="3">
        <f>SUBTOTAL(9,N20:N32)</f>
        <v>5057486.2699999996</v>
      </c>
    </row>
    <row r="34" spans="1:16" outlineLevel="2">
      <c r="A34" s="2" t="s">
        <v>69</v>
      </c>
      <c r="B34" s="2" t="s">
        <v>70</v>
      </c>
      <c r="C34" s="2" t="s">
        <v>71</v>
      </c>
      <c r="D34" s="3">
        <v>77285178249.839996</v>
      </c>
      <c r="E34" s="2" t="s">
        <v>18</v>
      </c>
      <c r="F34" s="4" t="s">
        <v>19</v>
      </c>
      <c r="G34" s="5" t="s">
        <v>20</v>
      </c>
      <c r="H34" s="2" t="s">
        <v>21</v>
      </c>
      <c r="I34" s="2" t="s">
        <v>22</v>
      </c>
      <c r="J34" s="2" t="s">
        <v>23</v>
      </c>
      <c r="K34" s="3" t="s">
        <v>24</v>
      </c>
      <c r="L34" s="2" t="s">
        <v>25</v>
      </c>
      <c r="M34" s="3" t="s">
        <v>26</v>
      </c>
      <c r="N34" s="3" t="s">
        <v>26</v>
      </c>
      <c r="O34" s="3">
        <v>77285178249.839996</v>
      </c>
      <c r="P34" s="2" t="s">
        <v>27</v>
      </c>
    </row>
    <row r="35" spans="1:16" outlineLevel="1">
      <c r="A35" s="14" t="s">
        <v>883</v>
      </c>
      <c r="M35" s="3">
        <f>SUBTOTAL(9,M34:M34)</f>
        <v>0</v>
      </c>
      <c r="N35" s="3">
        <f>SUBTOTAL(9,N34:N34)</f>
        <v>0</v>
      </c>
    </row>
    <row r="36" spans="1:16" outlineLevel="2">
      <c r="A36" s="2" t="s">
        <v>72</v>
      </c>
      <c r="B36" s="2" t="s">
        <v>73</v>
      </c>
      <c r="C36" s="2" t="s">
        <v>74</v>
      </c>
      <c r="D36" s="3">
        <v>45591190</v>
      </c>
      <c r="E36" s="2" t="s">
        <v>18</v>
      </c>
      <c r="F36" s="4" t="s">
        <v>19</v>
      </c>
      <c r="G36" s="5" t="s">
        <v>20</v>
      </c>
      <c r="H36" s="2" t="s">
        <v>21</v>
      </c>
      <c r="I36" s="2" t="s">
        <v>22</v>
      </c>
      <c r="J36" s="2" t="s">
        <v>23</v>
      </c>
      <c r="K36" s="3" t="s">
        <v>24</v>
      </c>
      <c r="L36" s="2" t="s">
        <v>25</v>
      </c>
      <c r="M36" s="3" t="s">
        <v>26</v>
      </c>
      <c r="N36" s="3" t="s">
        <v>26</v>
      </c>
      <c r="O36" s="3">
        <v>45591190</v>
      </c>
      <c r="P36" s="2" t="s">
        <v>27</v>
      </c>
    </row>
    <row r="37" spans="1:16" outlineLevel="1">
      <c r="A37" s="14" t="s">
        <v>884</v>
      </c>
      <c r="M37" s="3">
        <f>SUBTOTAL(9,M36:M36)</f>
        <v>0</v>
      </c>
      <c r="N37" s="3">
        <f>SUBTOTAL(9,N36:N36)</f>
        <v>0</v>
      </c>
    </row>
    <row r="38" spans="1:16" outlineLevel="2">
      <c r="A38" s="2" t="s">
        <v>75</v>
      </c>
      <c r="B38" s="2" t="s">
        <v>76</v>
      </c>
      <c r="C38" s="2" t="s">
        <v>77</v>
      </c>
      <c r="D38" s="3">
        <v>6206491326.1499996</v>
      </c>
      <c r="E38" s="2" t="s">
        <v>18</v>
      </c>
      <c r="F38" s="4" t="s">
        <v>19</v>
      </c>
      <c r="G38" s="5" t="s">
        <v>20</v>
      </c>
      <c r="H38" s="2" t="s">
        <v>21</v>
      </c>
      <c r="I38" s="2" t="s">
        <v>22</v>
      </c>
      <c r="J38" s="2" t="s">
        <v>23</v>
      </c>
      <c r="K38" s="3" t="s">
        <v>24</v>
      </c>
      <c r="L38" s="2" t="s">
        <v>25</v>
      </c>
      <c r="M38" s="3" t="s">
        <v>26</v>
      </c>
      <c r="N38" s="3" t="s">
        <v>26</v>
      </c>
      <c r="O38" s="3">
        <v>6206491326.1499996</v>
      </c>
      <c r="P38" s="2" t="s">
        <v>27</v>
      </c>
    </row>
    <row r="39" spans="1:16" outlineLevel="1">
      <c r="A39" s="14" t="s">
        <v>885</v>
      </c>
      <c r="M39" s="3">
        <f>SUBTOTAL(9,M38:M38)</f>
        <v>0</v>
      </c>
      <c r="N39" s="3">
        <f>SUBTOTAL(9,N38:N38)</f>
        <v>0</v>
      </c>
    </row>
    <row r="40" spans="1:16" outlineLevel="2">
      <c r="A40" s="2" t="s">
        <v>78</v>
      </c>
      <c r="B40" s="2" t="s">
        <v>79</v>
      </c>
      <c r="C40" s="2" t="s">
        <v>80</v>
      </c>
      <c r="D40" s="3">
        <v>125804568.76000001</v>
      </c>
      <c r="E40" s="2" t="s">
        <v>18</v>
      </c>
      <c r="F40" s="4" t="s">
        <v>19</v>
      </c>
      <c r="G40" s="5" t="s">
        <v>20</v>
      </c>
      <c r="H40" s="2" t="s">
        <v>21</v>
      </c>
      <c r="I40" s="2" t="s">
        <v>22</v>
      </c>
      <c r="J40" s="2" t="s">
        <v>23</v>
      </c>
      <c r="K40" s="3" t="s">
        <v>24</v>
      </c>
      <c r="L40" s="2" t="s">
        <v>25</v>
      </c>
      <c r="M40" s="3" t="s">
        <v>26</v>
      </c>
      <c r="N40" s="3" t="s">
        <v>26</v>
      </c>
      <c r="O40" s="3">
        <v>125804568.76000001</v>
      </c>
      <c r="P40" s="2" t="s">
        <v>27</v>
      </c>
    </row>
    <row r="41" spans="1:16" outlineLevel="1">
      <c r="A41" s="14" t="s">
        <v>886</v>
      </c>
      <c r="M41" s="3">
        <f>SUBTOTAL(9,M40:M40)</f>
        <v>0</v>
      </c>
      <c r="N41" s="3">
        <f>SUBTOTAL(9,N40:N40)</f>
        <v>0</v>
      </c>
    </row>
    <row r="42" spans="1:16" outlineLevel="2">
      <c r="A42" s="2" t="s">
        <v>81</v>
      </c>
      <c r="B42" s="2" t="s">
        <v>82</v>
      </c>
      <c r="C42" s="2" t="s">
        <v>83</v>
      </c>
      <c r="D42" s="3">
        <v>74900000</v>
      </c>
      <c r="E42" s="2" t="s">
        <v>18</v>
      </c>
      <c r="F42" s="4" t="s">
        <v>19</v>
      </c>
      <c r="G42" s="5" t="s">
        <v>20</v>
      </c>
      <c r="H42" s="2" t="s">
        <v>21</v>
      </c>
      <c r="I42" s="2" t="s">
        <v>22</v>
      </c>
      <c r="J42" s="2" t="s">
        <v>23</v>
      </c>
      <c r="K42" s="3" t="s">
        <v>24</v>
      </c>
      <c r="L42" s="2" t="s">
        <v>25</v>
      </c>
      <c r="M42" s="3" t="s">
        <v>26</v>
      </c>
      <c r="N42" s="3" t="s">
        <v>26</v>
      </c>
      <c r="O42" s="3">
        <v>74900000</v>
      </c>
      <c r="P42" s="2" t="s">
        <v>27</v>
      </c>
    </row>
    <row r="43" spans="1:16" outlineLevel="1">
      <c r="A43" s="14" t="s">
        <v>887</v>
      </c>
      <c r="M43" s="3">
        <f>SUBTOTAL(9,M42:M42)</f>
        <v>0</v>
      </c>
      <c r="N43" s="3">
        <f>SUBTOTAL(9,N42:N42)</f>
        <v>0</v>
      </c>
    </row>
    <row r="44" spans="1:16" outlineLevel="2">
      <c r="A44" s="2" t="s">
        <v>84</v>
      </c>
      <c r="B44" s="2" t="s">
        <v>85</v>
      </c>
      <c r="C44" s="2" t="s">
        <v>86</v>
      </c>
      <c r="D44" s="3">
        <v>-125804568.76000001</v>
      </c>
      <c r="E44" s="2" t="s">
        <v>18</v>
      </c>
      <c r="F44" s="4" t="s">
        <v>19</v>
      </c>
      <c r="G44" s="5" t="s">
        <v>20</v>
      </c>
      <c r="H44" s="2" t="s">
        <v>21</v>
      </c>
      <c r="I44" s="2" t="s">
        <v>22</v>
      </c>
      <c r="J44" s="2" t="s">
        <v>23</v>
      </c>
      <c r="K44" s="3" t="s">
        <v>24</v>
      </c>
      <c r="L44" s="2" t="s">
        <v>25</v>
      </c>
      <c r="M44" s="3" t="s">
        <v>26</v>
      </c>
      <c r="N44" s="3" t="s">
        <v>26</v>
      </c>
      <c r="O44" s="3">
        <v>-125804568.76000001</v>
      </c>
      <c r="P44" s="2" t="s">
        <v>27</v>
      </c>
    </row>
    <row r="45" spans="1:16" outlineLevel="1">
      <c r="A45" s="14" t="s">
        <v>888</v>
      </c>
      <c r="M45" s="3">
        <f>SUBTOTAL(9,M44:M44)</f>
        <v>0</v>
      </c>
      <c r="N45" s="3">
        <f>SUBTOTAL(9,N44:N44)</f>
        <v>0</v>
      </c>
    </row>
    <row r="46" spans="1:16" outlineLevel="2">
      <c r="A46" s="2" t="s">
        <v>87</v>
      </c>
      <c r="B46" s="2" t="s">
        <v>88</v>
      </c>
      <c r="C46" s="2" t="s">
        <v>89</v>
      </c>
      <c r="D46" s="3">
        <v>0</v>
      </c>
      <c r="E46" s="2" t="s">
        <v>37</v>
      </c>
      <c r="F46" s="4" t="s">
        <v>19</v>
      </c>
      <c r="G46" s="5">
        <v>0</v>
      </c>
      <c r="H46" s="2" t="s">
        <v>21</v>
      </c>
      <c r="I46" s="2" t="s">
        <v>22</v>
      </c>
      <c r="J46" s="2" t="s">
        <v>23</v>
      </c>
      <c r="K46" s="3" t="s">
        <v>24</v>
      </c>
      <c r="L46" s="2" t="s">
        <v>25</v>
      </c>
      <c r="M46" s="3">
        <v>0</v>
      </c>
      <c r="N46" s="3">
        <v>0</v>
      </c>
      <c r="O46" s="3">
        <v>0</v>
      </c>
      <c r="P46" s="2" t="s">
        <v>27</v>
      </c>
    </row>
    <row r="47" spans="1:16" outlineLevel="1">
      <c r="A47" s="14" t="s">
        <v>889</v>
      </c>
      <c r="M47" s="3">
        <f>SUBTOTAL(9,M46:M46)</f>
        <v>0</v>
      </c>
      <c r="N47" s="3">
        <f>SUBTOTAL(9,N46:N46)</f>
        <v>0</v>
      </c>
    </row>
    <row r="48" spans="1:16" outlineLevel="2">
      <c r="A48" s="2" t="s">
        <v>90</v>
      </c>
      <c r="B48" s="2" t="s">
        <v>91</v>
      </c>
      <c r="C48" s="2" t="s">
        <v>92</v>
      </c>
      <c r="D48" s="3">
        <v>5631271.9299999997</v>
      </c>
      <c r="E48" s="2" t="s">
        <v>18</v>
      </c>
      <c r="F48" s="4" t="s">
        <v>19</v>
      </c>
      <c r="G48" s="5" t="s">
        <v>20</v>
      </c>
      <c r="H48" s="2" t="s">
        <v>21</v>
      </c>
      <c r="I48" s="2" t="s">
        <v>22</v>
      </c>
      <c r="J48" s="2" t="s">
        <v>23</v>
      </c>
      <c r="K48" s="3" t="s">
        <v>24</v>
      </c>
      <c r="L48" s="2" t="s">
        <v>25</v>
      </c>
      <c r="M48" s="3" t="s">
        <v>26</v>
      </c>
      <c r="N48" s="3" t="s">
        <v>26</v>
      </c>
      <c r="O48" s="3">
        <v>5631271.9299999997</v>
      </c>
      <c r="P48" s="2" t="s">
        <v>27</v>
      </c>
    </row>
    <row r="49" spans="1:16" outlineLevel="1">
      <c r="A49" s="14" t="s">
        <v>890</v>
      </c>
      <c r="M49" s="3">
        <f>SUBTOTAL(9,M48:M48)</f>
        <v>0</v>
      </c>
      <c r="N49" s="3">
        <f>SUBTOTAL(9,N48:N48)</f>
        <v>0</v>
      </c>
    </row>
    <row r="50" spans="1:16" outlineLevel="2">
      <c r="A50" s="2" t="s">
        <v>93</v>
      </c>
      <c r="B50" s="2" t="s">
        <v>94</v>
      </c>
      <c r="C50" s="2" t="s">
        <v>95</v>
      </c>
      <c r="D50" s="3">
        <v>15912</v>
      </c>
      <c r="E50" s="2" t="s">
        <v>18</v>
      </c>
      <c r="F50" s="4" t="s">
        <v>19</v>
      </c>
      <c r="G50" s="5" t="s">
        <v>20</v>
      </c>
      <c r="H50" s="2" t="s">
        <v>21</v>
      </c>
      <c r="I50" s="2" t="s">
        <v>22</v>
      </c>
      <c r="J50" s="2" t="s">
        <v>23</v>
      </c>
      <c r="K50" s="3" t="s">
        <v>24</v>
      </c>
      <c r="L50" s="2" t="s">
        <v>25</v>
      </c>
      <c r="M50" s="3" t="s">
        <v>26</v>
      </c>
      <c r="N50" s="3" t="s">
        <v>26</v>
      </c>
      <c r="O50" s="3">
        <v>15912</v>
      </c>
      <c r="P50" s="2" t="s">
        <v>27</v>
      </c>
    </row>
    <row r="51" spans="1:16" outlineLevel="1">
      <c r="A51" s="14" t="s">
        <v>891</v>
      </c>
      <c r="M51" s="3">
        <f>SUBTOTAL(9,M50:M50)</f>
        <v>0</v>
      </c>
      <c r="N51" s="3">
        <f>SUBTOTAL(9,N50:N50)</f>
        <v>0</v>
      </c>
    </row>
    <row r="52" spans="1:16" outlineLevel="2">
      <c r="A52" s="2" t="s">
        <v>96</v>
      </c>
      <c r="B52" s="2" t="s">
        <v>97</v>
      </c>
      <c r="C52" s="2" t="s">
        <v>98</v>
      </c>
      <c r="D52" s="3">
        <v>0</v>
      </c>
      <c r="E52" s="2" t="s">
        <v>37</v>
      </c>
      <c r="F52" s="4" t="s">
        <v>19</v>
      </c>
      <c r="G52" s="5">
        <v>0</v>
      </c>
      <c r="H52" s="2" t="s">
        <v>21</v>
      </c>
      <c r="I52" s="2" t="s">
        <v>22</v>
      </c>
      <c r="J52" s="2" t="s">
        <v>23</v>
      </c>
      <c r="K52" s="3" t="s">
        <v>24</v>
      </c>
      <c r="L52" s="2" t="s">
        <v>25</v>
      </c>
      <c r="M52" s="3">
        <v>0</v>
      </c>
      <c r="N52" s="3">
        <v>0</v>
      </c>
      <c r="O52" s="3">
        <v>0</v>
      </c>
      <c r="P52" s="2" t="s">
        <v>27</v>
      </c>
    </row>
    <row r="53" spans="1:16" outlineLevel="1">
      <c r="A53" s="14" t="s">
        <v>892</v>
      </c>
      <c r="M53" s="3">
        <f>SUBTOTAL(9,M52:M52)</f>
        <v>0</v>
      </c>
      <c r="N53" s="3">
        <f>SUBTOTAL(9,N52:N52)</f>
        <v>0</v>
      </c>
    </row>
    <row r="54" spans="1:16" outlineLevel="2">
      <c r="A54" s="2" t="s">
        <v>99</v>
      </c>
      <c r="B54" s="2" t="s">
        <v>100</v>
      </c>
      <c r="C54" s="2" t="s">
        <v>101</v>
      </c>
      <c r="D54" s="3">
        <v>3000000</v>
      </c>
      <c r="E54" s="2" t="s">
        <v>18</v>
      </c>
      <c r="F54" s="4" t="s">
        <v>19</v>
      </c>
      <c r="G54" s="5" t="s">
        <v>20</v>
      </c>
      <c r="H54" s="2" t="s">
        <v>21</v>
      </c>
      <c r="I54" s="2" t="s">
        <v>22</v>
      </c>
      <c r="J54" s="2" t="s">
        <v>23</v>
      </c>
      <c r="K54" s="3" t="s">
        <v>24</v>
      </c>
      <c r="L54" s="2" t="s">
        <v>25</v>
      </c>
      <c r="M54" s="3" t="s">
        <v>26</v>
      </c>
      <c r="N54" s="3" t="s">
        <v>26</v>
      </c>
      <c r="O54" s="3">
        <v>3000000</v>
      </c>
      <c r="P54" s="2" t="s">
        <v>27</v>
      </c>
    </row>
    <row r="55" spans="1:16" outlineLevel="1">
      <c r="A55" s="14" t="s">
        <v>893</v>
      </c>
      <c r="M55" s="3">
        <f>SUBTOTAL(9,M54:M54)</f>
        <v>0</v>
      </c>
      <c r="N55" s="3">
        <f>SUBTOTAL(9,N54:N54)</f>
        <v>0</v>
      </c>
    </row>
    <row r="56" spans="1:16" outlineLevel="2">
      <c r="A56" s="2" t="s">
        <v>102</v>
      </c>
      <c r="B56" s="2" t="s">
        <v>103</v>
      </c>
      <c r="C56" s="2" t="s">
        <v>104</v>
      </c>
      <c r="D56" s="3">
        <v>675742000</v>
      </c>
      <c r="E56" s="2" t="s">
        <v>18</v>
      </c>
      <c r="F56" s="4" t="s">
        <v>19</v>
      </c>
      <c r="G56" s="5" t="s">
        <v>20</v>
      </c>
      <c r="H56" s="2" t="s">
        <v>21</v>
      </c>
      <c r="I56" s="2" t="s">
        <v>22</v>
      </c>
      <c r="J56" s="2" t="s">
        <v>23</v>
      </c>
      <c r="K56" s="3" t="s">
        <v>24</v>
      </c>
      <c r="L56" s="2" t="s">
        <v>25</v>
      </c>
      <c r="M56" s="3" t="s">
        <v>26</v>
      </c>
      <c r="N56" s="3" t="s">
        <v>26</v>
      </c>
      <c r="O56" s="3">
        <v>675742000</v>
      </c>
      <c r="P56" s="2" t="s">
        <v>27</v>
      </c>
    </row>
    <row r="57" spans="1:16" outlineLevel="1">
      <c r="A57" s="14" t="s">
        <v>894</v>
      </c>
      <c r="M57" s="3">
        <f>SUBTOTAL(9,M56:M56)</f>
        <v>0</v>
      </c>
      <c r="N57" s="3">
        <f>SUBTOTAL(9,N56:N56)</f>
        <v>0</v>
      </c>
    </row>
    <row r="58" spans="1:16" outlineLevel="2">
      <c r="A58" s="2" t="s">
        <v>105</v>
      </c>
      <c r="B58" s="2" t="s">
        <v>106</v>
      </c>
      <c r="C58" s="2" t="s">
        <v>107</v>
      </c>
      <c r="D58" s="3">
        <v>182353000</v>
      </c>
      <c r="E58" s="2" t="s">
        <v>18</v>
      </c>
      <c r="F58" s="4" t="s">
        <v>19</v>
      </c>
      <c r="G58" s="5" t="s">
        <v>20</v>
      </c>
      <c r="H58" s="2" t="s">
        <v>21</v>
      </c>
      <c r="I58" s="2" t="s">
        <v>22</v>
      </c>
      <c r="J58" s="2" t="s">
        <v>23</v>
      </c>
      <c r="K58" s="3" t="s">
        <v>24</v>
      </c>
      <c r="L58" s="2" t="s">
        <v>25</v>
      </c>
      <c r="M58" s="3" t="s">
        <v>26</v>
      </c>
      <c r="N58" s="3" t="s">
        <v>26</v>
      </c>
      <c r="O58" s="3">
        <v>182353000</v>
      </c>
      <c r="P58" s="2" t="s">
        <v>27</v>
      </c>
    </row>
    <row r="59" spans="1:16" outlineLevel="1">
      <c r="A59" s="14" t="s">
        <v>895</v>
      </c>
      <c r="M59" s="3">
        <f>SUBTOTAL(9,M58:M58)</f>
        <v>0</v>
      </c>
      <c r="N59" s="3">
        <f>SUBTOTAL(9,N58:N58)</f>
        <v>0</v>
      </c>
    </row>
    <row r="60" spans="1:16" outlineLevel="2">
      <c r="A60" s="2" t="s">
        <v>108</v>
      </c>
      <c r="B60" s="2" t="s">
        <v>109</v>
      </c>
      <c r="C60" s="2" t="s">
        <v>110</v>
      </c>
      <c r="D60" s="3">
        <v>1000</v>
      </c>
      <c r="E60" s="2" t="s">
        <v>18</v>
      </c>
      <c r="F60" s="4" t="s">
        <v>19</v>
      </c>
      <c r="G60" s="5" t="s">
        <v>20</v>
      </c>
      <c r="H60" s="2" t="s">
        <v>21</v>
      </c>
      <c r="I60" s="2" t="s">
        <v>22</v>
      </c>
      <c r="J60" s="2" t="s">
        <v>23</v>
      </c>
      <c r="K60" s="3" t="s">
        <v>24</v>
      </c>
      <c r="L60" s="2" t="s">
        <v>25</v>
      </c>
      <c r="M60" s="3" t="s">
        <v>26</v>
      </c>
      <c r="N60" s="3" t="s">
        <v>26</v>
      </c>
      <c r="O60" s="3">
        <v>1000</v>
      </c>
      <c r="P60" s="2" t="s">
        <v>27</v>
      </c>
    </row>
    <row r="61" spans="1:16" outlineLevel="1">
      <c r="A61" s="14" t="s">
        <v>896</v>
      </c>
      <c r="M61" s="3">
        <f>SUBTOTAL(9,M60:M60)</f>
        <v>0</v>
      </c>
      <c r="N61" s="3">
        <f>SUBTOTAL(9,N60:N60)</f>
        <v>0</v>
      </c>
    </row>
    <row r="62" spans="1:16" outlineLevel="2">
      <c r="A62" s="2" t="s">
        <v>111</v>
      </c>
      <c r="B62" s="2" t="s">
        <v>112</v>
      </c>
      <c r="C62" s="2" t="s">
        <v>113</v>
      </c>
      <c r="D62" s="3">
        <v>0</v>
      </c>
      <c r="E62" s="2" t="s">
        <v>37</v>
      </c>
      <c r="F62" s="4" t="s">
        <v>19</v>
      </c>
      <c r="G62" s="5">
        <v>0</v>
      </c>
      <c r="H62" s="2" t="s">
        <v>21</v>
      </c>
      <c r="I62" s="2" t="s">
        <v>22</v>
      </c>
      <c r="J62" s="2" t="s">
        <v>23</v>
      </c>
      <c r="K62" s="3" t="s">
        <v>24</v>
      </c>
      <c r="L62" s="2" t="s">
        <v>25</v>
      </c>
      <c r="M62" s="3">
        <v>0</v>
      </c>
      <c r="N62" s="3">
        <v>0</v>
      </c>
      <c r="O62" s="3">
        <v>0</v>
      </c>
      <c r="P62" s="2" t="s">
        <v>27</v>
      </c>
    </row>
    <row r="63" spans="1:16" outlineLevel="1">
      <c r="A63" s="14" t="s">
        <v>897</v>
      </c>
      <c r="M63" s="3">
        <f>SUBTOTAL(9,M62:M62)</f>
        <v>0</v>
      </c>
      <c r="N63" s="3">
        <f>SUBTOTAL(9,N62:N62)</f>
        <v>0</v>
      </c>
    </row>
    <row r="64" spans="1:16" outlineLevel="2">
      <c r="A64" s="2" t="s">
        <v>114</v>
      </c>
      <c r="B64" s="2" t="s">
        <v>115</v>
      </c>
      <c r="C64" s="2" t="s">
        <v>116</v>
      </c>
      <c r="D64" s="3">
        <v>2557924365.5700002</v>
      </c>
      <c r="E64" s="2" t="s">
        <v>18</v>
      </c>
      <c r="F64" s="4" t="s">
        <v>19</v>
      </c>
      <c r="G64" s="5" t="s">
        <v>20</v>
      </c>
      <c r="H64" s="2" t="s">
        <v>21</v>
      </c>
      <c r="I64" s="2" t="s">
        <v>22</v>
      </c>
      <c r="J64" s="2" t="s">
        <v>23</v>
      </c>
      <c r="K64" s="3" t="s">
        <v>24</v>
      </c>
      <c r="L64" s="2" t="s">
        <v>25</v>
      </c>
      <c r="M64" s="3" t="s">
        <v>26</v>
      </c>
      <c r="N64" s="3" t="s">
        <v>26</v>
      </c>
      <c r="O64" s="3">
        <v>2557924365.5700002</v>
      </c>
      <c r="P64" s="2" t="s">
        <v>27</v>
      </c>
    </row>
    <row r="65" spans="1:16" outlineLevel="1">
      <c r="A65" s="14" t="s">
        <v>898</v>
      </c>
      <c r="M65" s="3">
        <f>SUBTOTAL(9,M64:M64)</f>
        <v>0</v>
      </c>
      <c r="N65" s="3">
        <f>SUBTOTAL(9,N64:N64)</f>
        <v>0</v>
      </c>
    </row>
    <row r="66" spans="1:16" outlineLevel="2">
      <c r="A66" s="2" t="s">
        <v>117</v>
      </c>
      <c r="B66" s="2" t="s">
        <v>118</v>
      </c>
      <c r="C66" s="2" t="s">
        <v>119</v>
      </c>
      <c r="D66" s="3">
        <v>18251490.27</v>
      </c>
      <c r="E66" s="2" t="s">
        <v>120</v>
      </c>
      <c r="F66" s="4">
        <v>46204</v>
      </c>
      <c r="G66" s="5">
        <v>860068182</v>
      </c>
      <c r="H66" s="2" t="s">
        <v>121</v>
      </c>
      <c r="I66" s="2" t="s">
        <v>119</v>
      </c>
      <c r="J66" s="2" t="s">
        <v>23</v>
      </c>
      <c r="K66" s="3">
        <v>54949.24</v>
      </c>
      <c r="L66" s="2" t="s">
        <v>25</v>
      </c>
      <c r="M66" s="3">
        <v>2472.7199999999998</v>
      </c>
      <c r="N66" s="3" t="s">
        <v>26</v>
      </c>
      <c r="O66" s="3">
        <v>18253962.989999998</v>
      </c>
      <c r="P66" s="2" t="s">
        <v>27</v>
      </c>
    </row>
    <row r="67" spans="1:16" outlineLevel="1">
      <c r="A67" s="14" t="s">
        <v>899</v>
      </c>
      <c r="M67" s="3">
        <f>SUBTOTAL(9,M66:M66)</f>
        <v>2472.7199999999998</v>
      </c>
      <c r="N67" s="3">
        <f>SUBTOTAL(9,N66:N66)</f>
        <v>0</v>
      </c>
    </row>
    <row r="68" spans="1:16" outlineLevel="2">
      <c r="A68" s="2" t="s">
        <v>122</v>
      </c>
      <c r="B68" s="2" t="s">
        <v>123</v>
      </c>
      <c r="C68" s="2" t="s">
        <v>89</v>
      </c>
      <c r="D68" s="3">
        <v>0</v>
      </c>
      <c r="E68" s="2" t="s">
        <v>37</v>
      </c>
      <c r="F68" s="4" t="s">
        <v>19</v>
      </c>
      <c r="G68" s="5">
        <v>0</v>
      </c>
      <c r="H68" s="2" t="s">
        <v>21</v>
      </c>
      <c r="I68" s="2" t="s">
        <v>22</v>
      </c>
      <c r="J68" s="2" t="s">
        <v>23</v>
      </c>
      <c r="K68" s="3" t="s">
        <v>24</v>
      </c>
      <c r="L68" s="2" t="s">
        <v>25</v>
      </c>
      <c r="M68" s="3">
        <v>0</v>
      </c>
      <c r="N68" s="3">
        <v>0</v>
      </c>
      <c r="O68" s="3">
        <v>0</v>
      </c>
      <c r="P68" s="2" t="s">
        <v>27</v>
      </c>
    </row>
    <row r="69" spans="1:16" outlineLevel="1">
      <c r="A69" s="14" t="s">
        <v>900</v>
      </c>
      <c r="M69" s="3">
        <f>SUBTOTAL(9,M68:M68)</f>
        <v>0</v>
      </c>
      <c r="N69" s="3">
        <f>SUBTOTAL(9,N68:N68)</f>
        <v>0</v>
      </c>
    </row>
    <row r="70" spans="1:16" outlineLevel="2">
      <c r="A70" s="2" t="s">
        <v>124</v>
      </c>
      <c r="B70" s="2" t="s">
        <v>125</v>
      </c>
      <c r="C70" s="2" t="s">
        <v>126</v>
      </c>
      <c r="D70" s="3">
        <v>912156622.72000003</v>
      </c>
      <c r="E70" s="2" t="s">
        <v>18</v>
      </c>
      <c r="F70" s="4" t="s">
        <v>19</v>
      </c>
      <c r="G70" s="5" t="s">
        <v>20</v>
      </c>
      <c r="H70" s="2" t="s">
        <v>21</v>
      </c>
      <c r="I70" s="2" t="s">
        <v>22</v>
      </c>
      <c r="J70" s="2" t="s">
        <v>23</v>
      </c>
      <c r="K70" s="3" t="s">
        <v>24</v>
      </c>
      <c r="L70" s="2" t="s">
        <v>25</v>
      </c>
      <c r="M70" s="3" t="s">
        <v>26</v>
      </c>
      <c r="N70" s="3" t="s">
        <v>26</v>
      </c>
      <c r="O70" s="3">
        <v>912156622.72000003</v>
      </c>
      <c r="P70" s="2" t="s">
        <v>27</v>
      </c>
    </row>
    <row r="71" spans="1:16" outlineLevel="1">
      <c r="A71" s="14" t="s">
        <v>901</v>
      </c>
      <c r="M71" s="3">
        <f>SUBTOTAL(9,M70:M70)</f>
        <v>0</v>
      </c>
      <c r="N71" s="3">
        <f>SUBTOTAL(9,N70:N70)</f>
        <v>0</v>
      </c>
    </row>
    <row r="72" spans="1:16" outlineLevel="2">
      <c r="A72" s="2" t="s">
        <v>127</v>
      </c>
      <c r="B72" s="2" t="s">
        <v>128</v>
      </c>
      <c r="C72" s="2" t="s">
        <v>129</v>
      </c>
      <c r="D72" s="3">
        <v>1455750334.1099999</v>
      </c>
      <c r="E72" s="2" t="s">
        <v>18</v>
      </c>
      <c r="F72" s="4" t="s">
        <v>19</v>
      </c>
      <c r="G72" s="5" t="s">
        <v>20</v>
      </c>
      <c r="H72" s="2" t="s">
        <v>21</v>
      </c>
      <c r="I72" s="2" t="s">
        <v>22</v>
      </c>
      <c r="J72" s="2" t="s">
        <v>23</v>
      </c>
      <c r="K72" s="3" t="s">
        <v>24</v>
      </c>
      <c r="L72" s="2" t="s">
        <v>25</v>
      </c>
      <c r="M72" s="3" t="s">
        <v>26</v>
      </c>
      <c r="N72" s="3" t="s">
        <v>26</v>
      </c>
      <c r="O72" s="3">
        <v>1455750334.1099999</v>
      </c>
      <c r="P72" s="2" t="s">
        <v>27</v>
      </c>
    </row>
    <row r="73" spans="1:16" outlineLevel="1">
      <c r="A73" s="14" t="s">
        <v>902</v>
      </c>
      <c r="M73" s="3">
        <f>SUBTOTAL(9,M72:M72)</f>
        <v>0</v>
      </c>
      <c r="N73" s="3">
        <f>SUBTOTAL(9,N72:N72)</f>
        <v>0</v>
      </c>
    </row>
    <row r="74" spans="1:16" outlineLevel="2">
      <c r="A74" s="2" t="s">
        <v>130</v>
      </c>
      <c r="B74" s="2" t="s">
        <v>131</v>
      </c>
      <c r="C74" s="2" t="s">
        <v>132</v>
      </c>
      <c r="D74" s="3">
        <v>10428179</v>
      </c>
      <c r="E74" s="2" t="s">
        <v>18</v>
      </c>
      <c r="F74" s="4" t="s">
        <v>19</v>
      </c>
      <c r="G74" s="5" t="s">
        <v>20</v>
      </c>
      <c r="H74" s="2" t="s">
        <v>21</v>
      </c>
      <c r="I74" s="2" t="s">
        <v>22</v>
      </c>
      <c r="J74" s="2" t="s">
        <v>23</v>
      </c>
      <c r="K74" s="3" t="s">
        <v>24</v>
      </c>
      <c r="L74" s="2" t="s">
        <v>25</v>
      </c>
      <c r="M74" s="3" t="s">
        <v>26</v>
      </c>
      <c r="N74" s="3" t="s">
        <v>26</v>
      </c>
      <c r="O74" s="3">
        <v>10428179</v>
      </c>
      <c r="P74" s="2" t="s">
        <v>27</v>
      </c>
    </row>
    <row r="75" spans="1:16" outlineLevel="1">
      <c r="A75" s="14" t="s">
        <v>903</v>
      </c>
      <c r="M75" s="3">
        <f>SUBTOTAL(9,M74:M74)</f>
        <v>0</v>
      </c>
      <c r="N75" s="3">
        <f>SUBTOTAL(9,N74:N74)</f>
        <v>0</v>
      </c>
    </row>
    <row r="76" spans="1:16" outlineLevel="2">
      <c r="A76" s="2" t="s">
        <v>133</v>
      </c>
      <c r="B76" s="2" t="s">
        <v>134</v>
      </c>
      <c r="C76" s="2" t="s">
        <v>135</v>
      </c>
      <c r="D76" s="3">
        <v>-382177893</v>
      </c>
      <c r="E76" s="2" t="s">
        <v>18</v>
      </c>
      <c r="F76" s="4" t="s">
        <v>19</v>
      </c>
      <c r="G76" s="5" t="s">
        <v>20</v>
      </c>
      <c r="H76" s="2" t="s">
        <v>21</v>
      </c>
      <c r="I76" s="2" t="s">
        <v>22</v>
      </c>
      <c r="J76" s="2" t="s">
        <v>23</v>
      </c>
      <c r="K76" s="3" t="s">
        <v>24</v>
      </c>
      <c r="L76" s="2" t="s">
        <v>25</v>
      </c>
      <c r="M76" s="3" t="s">
        <v>26</v>
      </c>
      <c r="N76" s="3" t="s">
        <v>26</v>
      </c>
      <c r="O76" s="3">
        <v>-382177893</v>
      </c>
      <c r="P76" s="2" t="s">
        <v>27</v>
      </c>
    </row>
    <row r="77" spans="1:16" outlineLevel="1">
      <c r="A77" s="14" t="s">
        <v>904</v>
      </c>
      <c r="M77" s="3">
        <f>SUBTOTAL(9,M76:M76)</f>
        <v>0</v>
      </c>
      <c r="N77" s="3">
        <f>SUBTOTAL(9,N76:N76)</f>
        <v>0</v>
      </c>
    </row>
    <row r="78" spans="1:16" outlineLevel="2">
      <c r="A78" s="2" t="s">
        <v>136</v>
      </c>
      <c r="B78" s="2" t="s">
        <v>137</v>
      </c>
      <c r="C78" s="2" t="s">
        <v>138</v>
      </c>
      <c r="D78" s="3">
        <v>1598186797.24</v>
      </c>
      <c r="E78" s="2" t="s">
        <v>18</v>
      </c>
      <c r="F78" s="4" t="s">
        <v>19</v>
      </c>
      <c r="G78" s="5" t="s">
        <v>20</v>
      </c>
      <c r="H78" s="2" t="s">
        <v>21</v>
      </c>
      <c r="I78" s="2" t="s">
        <v>22</v>
      </c>
      <c r="J78" s="2" t="s">
        <v>23</v>
      </c>
      <c r="K78" s="3" t="s">
        <v>24</v>
      </c>
      <c r="L78" s="2" t="s">
        <v>25</v>
      </c>
      <c r="M78" s="3" t="s">
        <v>26</v>
      </c>
      <c r="N78" s="3" t="s">
        <v>26</v>
      </c>
      <c r="O78" s="3">
        <v>1598186797.24</v>
      </c>
      <c r="P78" s="2" t="s">
        <v>27</v>
      </c>
    </row>
    <row r="79" spans="1:16" outlineLevel="1">
      <c r="A79" s="14" t="s">
        <v>905</v>
      </c>
      <c r="M79" s="3">
        <f>SUBTOTAL(9,M78:M78)</f>
        <v>0</v>
      </c>
      <c r="N79" s="3">
        <f>SUBTOTAL(9,N78:N78)</f>
        <v>0</v>
      </c>
    </row>
    <row r="80" spans="1:16" outlineLevel="2">
      <c r="A80" s="2" t="s">
        <v>139</v>
      </c>
      <c r="B80" s="2" t="s">
        <v>140</v>
      </c>
      <c r="C80" s="2" t="s">
        <v>141</v>
      </c>
      <c r="D80" s="3">
        <v>-168108491</v>
      </c>
      <c r="E80" s="2" t="s">
        <v>18</v>
      </c>
      <c r="F80" s="4" t="s">
        <v>19</v>
      </c>
      <c r="G80" s="5" t="s">
        <v>20</v>
      </c>
      <c r="H80" s="2" t="s">
        <v>21</v>
      </c>
      <c r="I80" s="2" t="s">
        <v>22</v>
      </c>
      <c r="J80" s="2" t="s">
        <v>23</v>
      </c>
      <c r="K80" s="3" t="s">
        <v>24</v>
      </c>
      <c r="L80" s="2" t="s">
        <v>25</v>
      </c>
      <c r="M80" s="3" t="s">
        <v>26</v>
      </c>
      <c r="N80" s="3" t="s">
        <v>26</v>
      </c>
      <c r="O80" s="3">
        <v>-168108491</v>
      </c>
      <c r="P80" s="2" t="s">
        <v>27</v>
      </c>
    </row>
    <row r="81" spans="1:16" outlineLevel="1">
      <c r="A81" s="14" t="s">
        <v>906</v>
      </c>
      <c r="M81" s="3">
        <f>SUBTOTAL(9,M80:M80)</f>
        <v>0</v>
      </c>
      <c r="N81" s="3">
        <f>SUBTOTAL(9,N80:N80)</f>
        <v>0</v>
      </c>
    </row>
    <row r="82" spans="1:16" outlineLevel="2">
      <c r="A82" s="2" t="s">
        <v>142</v>
      </c>
      <c r="B82" s="2" t="s">
        <v>143</v>
      </c>
      <c r="C82" s="2" t="s">
        <v>144</v>
      </c>
      <c r="D82" s="3">
        <v>5142856869</v>
      </c>
      <c r="E82" s="2" t="s">
        <v>18</v>
      </c>
      <c r="F82" s="4" t="s">
        <v>19</v>
      </c>
      <c r="G82" s="5" t="s">
        <v>20</v>
      </c>
      <c r="H82" s="2" t="s">
        <v>21</v>
      </c>
      <c r="I82" s="2" t="s">
        <v>22</v>
      </c>
      <c r="J82" s="2" t="s">
        <v>23</v>
      </c>
      <c r="K82" s="3" t="s">
        <v>24</v>
      </c>
      <c r="L82" s="2" t="s">
        <v>25</v>
      </c>
      <c r="M82" s="3" t="s">
        <v>26</v>
      </c>
      <c r="N82" s="3" t="s">
        <v>26</v>
      </c>
      <c r="O82" s="3">
        <v>5142856869</v>
      </c>
      <c r="P82" s="2" t="s">
        <v>27</v>
      </c>
    </row>
    <row r="83" spans="1:16" outlineLevel="1">
      <c r="A83" s="14" t="s">
        <v>907</v>
      </c>
      <c r="M83" s="3">
        <f>SUBTOTAL(9,M82:M82)</f>
        <v>0</v>
      </c>
      <c r="N83" s="3">
        <f>SUBTOTAL(9,N82:N82)</f>
        <v>0</v>
      </c>
    </row>
    <row r="84" spans="1:16" outlineLevel="2">
      <c r="A84" s="2" t="s">
        <v>145</v>
      </c>
      <c r="B84" s="2" t="s">
        <v>146</v>
      </c>
      <c r="C84" s="2" t="s">
        <v>147</v>
      </c>
      <c r="D84" s="3">
        <v>1729318655</v>
      </c>
      <c r="E84" s="2" t="s">
        <v>18</v>
      </c>
      <c r="F84" s="4" t="s">
        <v>19</v>
      </c>
      <c r="G84" s="5" t="s">
        <v>20</v>
      </c>
      <c r="H84" s="2" t="s">
        <v>21</v>
      </c>
      <c r="I84" s="2" t="s">
        <v>22</v>
      </c>
      <c r="J84" s="2" t="s">
        <v>23</v>
      </c>
      <c r="K84" s="3" t="s">
        <v>24</v>
      </c>
      <c r="L84" s="2" t="s">
        <v>25</v>
      </c>
      <c r="M84" s="3" t="s">
        <v>26</v>
      </c>
      <c r="N84" s="3" t="s">
        <v>26</v>
      </c>
      <c r="O84" s="3">
        <v>1729318655</v>
      </c>
      <c r="P84" s="2" t="s">
        <v>27</v>
      </c>
    </row>
    <row r="85" spans="1:16" outlineLevel="1">
      <c r="A85" s="14" t="s">
        <v>908</v>
      </c>
      <c r="M85" s="3">
        <f>SUBTOTAL(9,M84:M84)</f>
        <v>0</v>
      </c>
      <c r="N85" s="3">
        <f>SUBTOTAL(9,N84:N84)</f>
        <v>0</v>
      </c>
    </row>
    <row r="86" spans="1:16" outlineLevel="2">
      <c r="A86" s="2" t="s">
        <v>148</v>
      </c>
      <c r="B86" s="2" t="s">
        <v>149</v>
      </c>
      <c r="C86" s="2" t="s">
        <v>150</v>
      </c>
      <c r="D86" s="3">
        <v>3929661345</v>
      </c>
      <c r="E86" s="2" t="s">
        <v>18</v>
      </c>
      <c r="F86" s="4" t="s">
        <v>19</v>
      </c>
      <c r="G86" s="5" t="s">
        <v>20</v>
      </c>
      <c r="H86" s="2" t="s">
        <v>21</v>
      </c>
      <c r="I86" s="2" t="s">
        <v>22</v>
      </c>
      <c r="J86" s="2" t="s">
        <v>23</v>
      </c>
      <c r="K86" s="3" t="s">
        <v>24</v>
      </c>
      <c r="L86" s="2" t="s">
        <v>25</v>
      </c>
      <c r="M86" s="3" t="s">
        <v>26</v>
      </c>
      <c r="N86" s="3" t="s">
        <v>26</v>
      </c>
      <c r="O86" s="3">
        <v>3929661345</v>
      </c>
      <c r="P86" s="2" t="s">
        <v>27</v>
      </c>
    </row>
    <row r="87" spans="1:16" outlineLevel="1">
      <c r="A87" s="14" t="s">
        <v>909</v>
      </c>
      <c r="M87" s="3">
        <f>SUBTOTAL(9,M86:M86)</f>
        <v>0</v>
      </c>
      <c r="N87" s="3">
        <f>SUBTOTAL(9,N86:N86)</f>
        <v>0</v>
      </c>
    </row>
    <row r="88" spans="1:16" outlineLevel="2">
      <c r="A88" s="2" t="s">
        <v>151</v>
      </c>
      <c r="B88" s="2" t="s">
        <v>152</v>
      </c>
      <c r="C88" s="2" t="s">
        <v>153</v>
      </c>
      <c r="D88" s="3">
        <v>63334784</v>
      </c>
      <c r="E88" s="2" t="s">
        <v>18</v>
      </c>
      <c r="F88" s="4" t="s">
        <v>19</v>
      </c>
      <c r="G88" s="5" t="s">
        <v>20</v>
      </c>
      <c r="H88" s="2" t="s">
        <v>21</v>
      </c>
      <c r="I88" s="2" t="s">
        <v>22</v>
      </c>
      <c r="J88" s="2" t="s">
        <v>23</v>
      </c>
      <c r="K88" s="3" t="s">
        <v>24</v>
      </c>
      <c r="L88" s="2" t="s">
        <v>25</v>
      </c>
      <c r="M88" s="3" t="s">
        <v>26</v>
      </c>
      <c r="N88" s="3" t="s">
        <v>26</v>
      </c>
      <c r="O88" s="3">
        <v>63334784</v>
      </c>
      <c r="P88" s="2" t="s">
        <v>27</v>
      </c>
    </row>
    <row r="89" spans="1:16" outlineLevel="1">
      <c r="A89" s="14" t="s">
        <v>910</v>
      </c>
      <c r="M89" s="3">
        <f>SUBTOTAL(9,M88:M88)</f>
        <v>0</v>
      </c>
      <c r="N89" s="3">
        <f>SUBTOTAL(9,N88:N88)</f>
        <v>0</v>
      </c>
    </row>
    <row r="90" spans="1:16" outlineLevel="2">
      <c r="A90" s="2" t="s">
        <v>154</v>
      </c>
      <c r="B90" s="2" t="s">
        <v>155</v>
      </c>
      <c r="C90" s="2" t="s">
        <v>156</v>
      </c>
      <c r="D90" s="3">
        <v>64276989</v>
      </c>
      <c r="E90" s="2" t="s">
        <v>18</v>
      </c>
      <c r="F90" s="4" t="s">
        <v>19</v>
      </c>
      <c r="G90" s="5" t="s">
        <v>20</v>
      </c>
      <c r="H90" s="2" t="s">
        <v>21</v>
      </c>
      <c r="I90" s="2" t="s">
        <v>22</v>
      </c>
      <c r="J90" s="2" t="s">
        <v>23</v>
      </c>
      <c r="K90" s="3" t="s">
        <v>24</v>
      </c>
      <c r="L90" s="2" t="s">
        <v>25</v>
      </c>
      <c r="M90" s="3" t="s">
        <v>26</v>
      </c>
      <c r="N90" s="3" t="s">
        <v>26</v>
      </c>
      <c r="O90" s="3">
        <v>64276989</v>
      </c>
      <c r="P90" s="2" t="s">
        <v>27</v>
      </c>
    </row>
    <row r="91" spans="1:16" outlineLevel="1">
      <c r="A91" s="14" t="s">
        <v>911</v>
      </c>
      <c r="M91" s="3">
        <f>SUBTOTAL(9,M90:M90)</f>
        <v>0</v>
      </c>
      <c r="N91" s="3">
        <f>SUBTOTAL(9,N90:N90)</f>
        <v>0</v>
      </c>
    </row>
    <row r="92" spans="1:16" outlineLevel="2">
      <c r="A92" s="2" t="s">
        <v>157</v>
      </c>
      <c r="B92" s="2" t="s">
        <v>158</v>
      </c>
      <c r="C92" s="2" t="s">
        <v>159</v>
      </c>
      <c r="D92" s="3">
        <v>459527291</v>
      </c>
      <c r="E92" s="2" t="s">
        <v>18</v>
      </c>
      <c r="F92" s="4" t="s">
        <v>19</v>
      </c>
      <c r="G92" s="5" t="s">
        <v>20</v>
      </c>
      <c r="H92" s="2" t="s">
        <v>21</v>
      </c>
      <c r="I92" s="2" t="s">
        <v>22</v>
      </c>
      <c r="J92" s="2" t="s">
        <v>23</v>
      </c>
      <c r="K92" s="3" t="s">
        <v>24</v>
      </c>
      <c r="L92" s="2" t="s">
        <v>25</v>
      </c>
      <c r="M92" s="3" t="s">
        <v>26</v>
      </c>
      <c r="N92" s="3" t="s">
        <v>26</v>
      </c>
      <c r="O92" s="3">
        <v>459527291</v>
      </c>
      <c r="P92" s="2" t="s">
        <v>27</v>
      </c>
    </row>
    <row r="93" spans="1:16" outlineLevel="1">
      <c r="A93" s="14" t="s">
        <v>912</v>
      </c>
      <c r="M93" s="3">
        <f>SUBTOTAL(9,M92:M92)</f>
        <v>0</v>
      </c>
      <c r="N93" s="3">
        <f>SUBTOTAL(9,N92:N92)</f>
        <v>0</v>
      </c>
    </row>
    <row r="94" spans="1:16" outlineLevel="2">
      <c r="A94" s="2" t="s">
        <v>160</v>
      </c>
      <c r="B94" s="2" t="s">
        <v>161</v>
      </c>
      <c r="C94" s="2" t="s">
        <v>162</v>
      </c>
      <c r="D94" s="3">
        <v>1091012450</v>
      </c>
      <c r="E94" s="2" t="s">
        <v>18</v>
      </c>
      <c r="F94" s="4" t="s">
        <v>19</v>
      </c>
      <c r="G94" s="5" t="s">
        <v>20</v>
      </c>
      <c r="H94" s="2" t="s">
        <v>21</v>
      </c>
      <c r="I94" s="2" t="s">
        <v>22</v>
      </c>
      <c r="J94" s="2" t="s">
        <v>23</v>
      </c>
      <c r="K94" s="3" t="s">
        <v>24</v>
      </c>
      <c r="L94" s="2" t="s">
        <v>25</v>
      </c>
      <c r="M94" s="3" t="s">
        <v>26</v>
      </c>
      <c r="N94" s="3" t="s">
        <v>26</v>
      </c>
      <c r="O94" s="3">
        <v>1091012450</v>
      </c>
      <c r="P94" s="2" t="s">
        <v>27</v>
      </c>
    </row>
    <row r="95" spans="1:16" outlineLevel="1">
      <c r="A95" s="14" t="s">
        <v>913</v>
      </c>
      <c r="M95" s="3">
        <f>SUBTOTAL(9,M94:M94)</f>
        <v>0</v>
      </c>
      <c r="N95" s="3">
        <f>SUBTOTAL(9,N94:N94)</f>
        <v>0</v>
      </c>
    </row>
    <row r="96" spans="1:16" outlineLevel="2">
      <c r="A96" s="2" t="s">
        <v>163</v>
      </c>
      <c r="B96" s="2" t="s">
        <v>164</v>
      </c>
      <c r="C96" s="2" t="s">
        <v>165</v>
      </c>
      <c r="D96" s="3">
        <v>-1729318655</v>
      </c>
      <c r="E96" s="2" t="s">
        <v>18</v>
      </c>
      <c r="F96" s="4" t="s">
        <v>19</v>
      </c>
      <c r="G96" s="5" t="s">
        <v>20</v>
      </c>
      <c r="H96" s="2" t="s">
        <v>21</v>
      </c>
      <c r="I96" s="2" t="s">
        <v>22</v>
      </c>
      <c r="J96" s="2" t="s">
        <v>23</v>
      </c>
      <c r="K96" s="3" t="s">
        <v>24</v>
      </c>
      <c r="L96" s="2" t="s">
        <v>25</v>
      </c>
      <c r="M96" s="3" t="s">
        <v>26</v>
      </c>
      <c r="N96" s="3" t="s">
        <v>26</v>
      </c>
      <c r="O96" s="3">
        <v>-1729318655</v>
      </c>
      <c r="P96" s="2" t="s">
        <v>27</v>
      </c>
    </row>
    <row r="97" spans="1:16" outlineLevel="1">
      <c r="A97" s="14" t="s">
        <v>914</v>
      </c>
      <c r="M97" s="3">
        <f>SUBTOTAL(9,M96:M96)</f>
        <v>0</v>
      </c>
      <c r="N97" s="3">
        <f>SUBTOTAL(9,N96:N96)</f>
        <v>0</v>
      </c>
    </row>
    <row r="98" spans="1:16" outlineLevel="2">
      <c r="A98" s="2" t="s">
        <v>166</v>
      </c>
      <c r="B98" s="2" t="s">
        <v>167</v>
      </c>
      <c r="C98" s="2" t="s">
        <v>150</v>
      </c>
      <c r="D98" s="3">
        <v>-3929661345</v>
      </c>
      <c r="E98" s="2" t="s">
        <v>18</v>
      </c>
      <c r="F98" s="4" t="s">
        <v>19</v>
      </c>
      <c r="G98" s="5" t="s">
        <v>20</v>
      </c>
      <c r="H98" s="2" t="s">
        <v>21</v>
      </c>
      <c r="I98" s="2" t="s">
        <v>22</v>
      </c>
      <c r="J98" s="2" t="s">
        <v>23</v>
      </c>
      <c r="K98" s="3" t="s">
        <v>24</v>
      </c>
      <c r="L98" s="2" t="s">
        <v>25</v>
      </c>
      <c r="M98" s="3" t="s">
        <v>26</v>
      </c>
      <c r="N98" s="3" t="s">
        <v>26</v>
      </c>
      <c r="O98" s="3">
        <v>-3929661345</v>
      </c>
      <c r="P98" s="2" t="s">
        <v>27</v>
      </c>
    </row>
    <row r="99" spans="1:16" outlineLevel="1">
      <c r="A99" s="14" t="s">
        <v>915</v>
      </c>
      <c r="M99" s="3">
        <f>SUBTOTAL(9,M98:M98)</f>
        <v>0</v>
      </c>
      <c r="N99" s="3">
        <f>SUBTOTAL(9,N98:N98)</f>
        <v>0</v>
      </c>
    </row>
    <row r="100" spans="1:16" outlineLevel="2">
      <c r="A100" s="2" t="s">
        <v>168</v>
      </c>
      <c r="B100" s="2" t="s">
        <v>169</v>
      </c>
      <c r="C100" s="2" t="s">
        <v>170</v>
      </c>
      <c r="D100" s="3">
        <v>-63334784</v>
      </c>
      <c r="E100" s="2" t="s">
        <v>18</v>
      </c>
      <c r="F100" s="4" t="s">
        <v>19</v>
      </c>
      <c r="G100" s="5" t="s">
        <v>20</v>
      </c>
      <c r="H100" s="2" t="s">
        <v>21</v>
      </c>
      <c r="I100" s="2" t="s">
        <v>22</v>
      </c>
      <c r="J100" s="2" t="s">
        <v>23</v>
      </c>
      <c r="K100" s="3" t="s">
        <v>24</v>
      </c>
      <c r="L100" s="2" t="s">
        <v>25</v>
      </c>
      <c r="M100" s="3" t="s">
        <v>26</v>
      </c>
      <c r="N100" s="3" t="s">
        <v>26</v>
      </c>
      <c r="O100" s="3">
        <v>-63334784</v>
      </c>
      <c r="P100" s="2" t="s">
        <v>27</v>
      </c>
    </row>
    <row r="101" spans="1:16" outlineLevel="1">
      <c r="A101" s="14" t="s">
        <v>916</v>
      </c>
      <c r="M101" s="3">
        <f>SUBTOTAL(9,M100:M100)</f>
        <v>0</v>
      </c>
      <c r="N101" s="3">
        <f>SUBTOTAL(9,N100:N100)</f>
        <v>0</v>
      </c>
    </row>
    <row r="102" spans="1:16" outlineLevel="2">
      <c r="A102" s="2" t="s">
        <v>171</v>
      </c>
      <c r="B102" s="2" t="s">
        <v>172</v>
      </c>
      <c r="C102" s="2" t="s">
        <v>173</v>
      </c>
      <c r="D102" s="3">
        <v>-64276989</v>
      </c>
      <c r="E102" s="2" t="s">
        <v>18</v>
      </c>
      <c r="F102" s="4" t="s">
        <v>19</v>
      </c>
      <c r="G102" s="5" t="s">
        <v>20</v>
      </c>
      <c r="H102" s="2" t="s">
        <v>21</v>
      </c>
      <c r="I102" s="2" t="s">
        <v>22</v>
      </c>
      <c r="J102" s="2" t="s">
        <v>23</v>
      </c>
      <c r="K102" s="3" t="s">
        <v>24</v>
      </c>
      <c r="L102" s="2" t="s">
        <v>25</v>
      </c>
      <c r="M102" s="3" t="s">
        <v>26</v>
      </c>
      <c r="N102" s="3" t="s">
        <v>26</v>
      </c>
      <c r="O102" s="3">
        <v>-64276989</v>
      </c>
      <c r="P102" s="2" t="s">
        <v>27</v>
      </c>
    </row>
    <row r="103" spans="1:16" outlineLevel="1">
      <c r="A103" s="14" t="s">
        <v>917</v>
      </c>
      <c r="M103" s="3">
        <f>SUBTOTAL(9,M102:M102)</f>
        <v>0</v>
      </c>
      <c r="N103" s="3">
        <f>SUBTOTAL(9,N102:N102)</f>
        <v>0</v>
      </c>
    </row>
    <row r="104" spans="1:16" outlineLevel="2">
      <c r="A104" s="2" t="s">
        <v>174</v>
      </c>
      <c r="B104" s="2" t="s">
        <v>175</v>
      </c>
      <c r="C104" s="2" t="s">
        <v>176</v>
      </c>
      <c r="D104" s="3">
        <v>-459527291</v>
      </c>
      <c r="E104" s="2" t="s">
        <v>18</v>
      </c>
      <c r="F104" s="4" t="s">
        <v>19</v>
      </c>
      <c r="G104" s="5" t="s">
        <v>20</v>
      </c>
      <c r="H104" s="2" t="s">
        <v>21</v>
      </c>
      <c r="I104" s="2" t="s">
        <v>22</v>
      </c>
      <c r="J104" s="2" t="s">
        <v>23</v>
      </c>
      <c r="K104" s="3" t="s">
        <v>24</v>
      </c>
      <c r="L104" s="2" t="s">
        <v>25</v>
      </c>
      <c r="M104" s="3" t="s">
        <v>26</v>
      </c>
      <c r="N104" s="3" t="s">
        <v>26</v>
      </c>
      <c r="O104" s="3">
        <v>-459527291</v>
      </c>
      <c r="P104" s="2" t="s">
        <v>27</v>
      </c>
    </row>
    <row r="105" spans="1:16" outlineLevel="1">
      <c r="A105" s="14" t="s">
        <v>918</v>
      </c>
      <c r="M105" s="3">
        <f>SUBTOTAL(9,M104:M104)</f>
        <v>0</v>
      </c>
      <c r="N105" s="3">
        <f>SUBTOTAL(9,N104:N104)</f>
        <v>0</v>
      </c>
    </row>
    <row r="106" spans="1:16" outlineLevel="2">
      <c r="A106" s="2" t="s">
        <v>177</v>
      </c>
      <c r="B106" s="2" t="s">
        <v>178</v>
      </c>
      <c r="C106" s="2" t="s">
        <v>179</v>
      </c>
      <c r="D106" s="3">
        <v>-1091012450</v>
      </c>
      <c r="E106" s="2" t="s">
        <v>18</v>
      </c>
      <c r="F106" s="4" t="s">
        <v>19</v>
      </c>
      <c r="G106" s="5" t="s">
        <v>20</v>
      </c>
      <c r="H106" s="2" t="s">
        <v>21</v>
      </c>
      <c r="I106" s="2" t="s">
        <v>22</v>
      </c>
      <c r="J106" s="2" t="s">
        <v>23</v>
      </c>
      <c r="K106" s="3" t="s">
        <v>24</v>
      </c>
      <c r="L106" s="2" t="s">
        <v>25</v>
      </c>
      <c r="M106" s="3" t="s">
        <v>26</v>
      </c>
      <c r="N106" s="3" t="s">
        <v>26</v>
      </c>
      <c r="O106" s="3">
        <v>-1091012450</v>
      </c>
      <c r="P106" s="2" t="s">
        <v>27</v>
      </c>
    </row>
    <row r="107" spans="1:16" outlineLevel="1">
      <c r="A107" s="14" t="s">
        <v>919</v>
      </c>
      <c r="M107" s="3">
        <f>SUBTOTAL(9,M106:M106)</f>
        <v>0</v>
      </c>
      <c r="N107" s="3">
        <f>SUBTOTAL(9,N106:N106)</f>
        <v>0</v>
      </c>
    </row>
    <row r="108" spans="1:16" outlineLevel="2">
      <c r="A108" s="2" t="s">
        <v>180</v>
      </c>
      <c r="B108" s="2" t="s">
        <v>181</v>
      </c>
      <c r="C108" s="2" t="s">
        <v>182</v>
      </c>
      <c r="D108" s="3">
        <v>16976373.460000001</v>
      </c>
      <c r="E108" s="2" t="s">
        <v>18</v>
      </c>
      <c r="F108" s="4" t="s">
        <v>19</v>
      </c>
      <c r="G108" s="5" t="s">
        <v>20</v>
      </c>
      <c r="H108" s="2" t="s">
        <v>21</v>
      </c>
      <c r="I108" s="2" t="s">
        <v>22</v>
      </c>
      <c r="J108" s="2" t="s">
        <v>23</v>
      </c>
      <c r="K108" s="3" t="s">
        <v>24</v>
      </c>
      <c r="L108" s="2" t="s">
        <v>25</v>
      </c>
      <c r="M108" s="3" t="s">
        <v>26</v>
      </c>
      <c r="N108" s="3" t="s">
        <v>26</v>
      </c>
      <c r="O108" s="3">
        <v>16976373.460000001</v>
      </c>
      <c r="P108" s="2" t="s">
        <v>27</v>
      </c>
    </row>
    <row r="109" spans="1:16" outlineLevel="1">
      <c r="A109" s="14" t="s">
        <v>920</v>
      </c>
      <c r="M109" s="3">
        <f>SUBTOTAL(9,M108:M108)</f>
        <v>0</v>
      </c>
      <c r="N109" s="3">
        <f>SUBTOTAL(9,N108:N108)</f>
        <v>0</v>
      </c>
    </row>
    <row r="110" spans="1:16" outlineLevel="2">
      <c r="A110" s="2" t="s">
        <v>183</v>
      </c>
      <c r="B110" s="2" t="s">
        <v>184</v>
      </c>
      <c r="C110" s="2" t="s">
        <v>185</v>
      </c>
      <c r="D110" s="3">
        <v>37475564377.440002</v>
      </c>
      <c r="E110" s="2" t="s">
        <v>18</v>
      </c>
      <c r="F110" s="4" t="s">
        <v>19</v>
      </c>
      <c r="G110" s="5" t="s">
        <v>20</v>
      </c>
      <c r="H110" s="2" t="s">
        <v>21</v>
      </c>
      <c r="I110" s="2" t="s">
        <v>22</v>
      </c>
      <c r="J110" s="2" t="s">
        <v>23</v>
      </c>
      <c r="K110" s="3" t="s">
        <v>24</v>
      </c>
      <c r="L110" s="2" t="s">
        <v>25</v>
      </c>
      <c r="M110" s="3" t="s">
        <v>26</v>
      </c>
      <c r="N110" s="3" t="s">
        <v>26</v>
      </c>
      <c r="O110" s="3">
        <v>37475564377.440002</v>
      </c>
      <c r="P110" s="2" t="s">
        <v>27</v>
      </c>
    </row>
    <row r="111" spans="1:16" outlineLevel="1">
      <c r="A111" s="14" t="s">
        <v>921</v>
      </c>
      <c r="M111" s="3">
        <f>SUBTOTAL(9,M110:M110)</f>
        <v>0</v>
      </c>
      <c r="N111" s="3">
        <f>SUBTOTAL(9,N110:N110)</f>
        <v>0</v>
      </c>
    </row>
    <row r="112" spans="1:16" outlineLevel="2">
      <c r="A112" s="2" t="s">
        <v>186</v>
      </c>
      <c r="B112" s="2" t="s">
        <v>187</v>
      </c>
      <c r="C112" s="2" t="s">
        <v>188</v>
      </c>
      <c r="D112" s="3">
        <v>31588833611.599998</v>
      </c>
      <c r="E112" s="2" t="s">
        <v>18</v>
      </c>
      <c r="F112" s="4" t="s">
        <v>19</v>
      </c>
      <c r="G112" s="5" t="s">
        <v>20</v>
      </c>
      <c r="H112" s="2" t="s">
        <v>21</v>
      </c>
      <c r="I112" s="2" t="s">
        <v>22</v>
      </c>
      <c r="J112" s="2" t="s">
        <v>23</v>
      </c>
      <c r="K112" s="3" t="s">
        <v>24</v>
      </c>
      <c r="L112" s="2" t="s">
        <v>25</v>
      </c>
      <c r="M112" s="3" t="s">
        <v>26</v>
      </c>
      <c r="N112" s="3" t="s">
        <v>26</v>
      </c>
      <c r="O112" s="3">
        <v>31588833611.599998</v>
      </c>
      <c r="P112" s="2" t="s">
        <v>27</v>
      </c>
    </row>
    <row r="113" spans="1:16" outlineLevel="1">
      <c r="A113" s="14" t="s">
        <v>922</v>
      </c>
      <c r="M113" s="3">
        <f>SUBTOTAL(9,M112:M112)</f>
        <v>0</v>
      </c>
      <c r="N113" s="3">
        <f>SUBTOTAL(9,N112:N112)</f>
        <v>0</v>
      </c>
    </row>
    <row r="114" spans="1:16" outlineLevel="2">
      <c r="A114" s="2" t="s">
        <v>189</v>
      </c>
      <c r="B114" s="2" t="s">
        <v>190</v>
      </c>
      <c r="C114" s="2" t="s">
        <v>191</v>
      </c>
      <c r="D114" s="3">
        <v>4131125732</v>
      </c>
      <c r="E114" s="2" t="s">
        <v>18</v>
      </c>
      <c r="F114" s="4" t="s">
        <v>19</v>
      </c>
      <c r="G114" s="5" t="s">
        <v>20</v>
      </c>
      <c r="H114" s="2" t="s">
        <v>21</v>
      </c>
      <c r="I114" s="2" t="s">
        <v>22</v>
      </c>
      <c r="J114" s="2" t="s">
        <v>23</v>
      </c>
      <c r="K114" s="3" t="s">
        <v>24</v>
      </c>
      <c r="L114" s="2" t="s">
        <v>25</v>
      </c>
      <c r="M114" s="3" t="s">
        <v>26</v>
      </c>
      <c r="N114" s="3" t="s">
        <v>26</v>
      </c>
      <c r="O114" s="3">
        <v>4131125732</v>
      </c>
      <c r="P114" s="2" t="s">
        <v>27</v>
      </c>
    </row>
    <row r="115" spans="1:16" outlineLevel="1">
      <c r="A115" s="14" t="s">
        <v>923</v>
      </c>
      <c r="M115" s="3">
        <f>SUBTOTAL(9,M114:M114)</f>
        <v>0</v>
      </c>
      <c r="N115" s="3">
        <f>SUBTOTAL(9,N114:N114)</f>
        <v>0</v>
      </c>
    </row>
    <row r="116" spans="1:16" outlineLevel="2">
      <c r="A116" s="2" t="s">
        <v>192</v>
      </c>
      <c r="B116" s="2" t="s">
        <v>193</v>
      </c>
      <c r="C116" s="2" t="s">
        <v>194</v>
      </c>
      <c r="D116" s="3">
        <v>-2153759170.8099999</v>
      </c>
      <c r="E116" s="2" t="s">
        <v>18</v>
      </c>
      <c r="F116" s="4" t="s">
        <v>19</v>
      </c>
      <c r="G116" s="5" t="s">
        <v>20</v>
      </c>
      <c r="H116" s="2" t="s">
        <v>21</v>
      </c>
      <c r="I116" s="2" t="s">
        <v>22</v>
      </c>
      <c r="J116" s="2" t="s">
        <v>23</v>
      </c>
      <c r="K116" s="3" t="s">
        <v>24</v>
      </c>
      <c r="L116" s="2" t="s">
        <v>25</v>
      </c>
      <c r="M116" s="3" t="s">
        <v>26</v>
      </c>
      <c r="N116" s="3" t="s">
        <v>26</v>
      </c>
      <c r="O116" s="3">
        <v>-2153759170.8099999</v>
      </c>
      <c r="P116" s="2" t="s">
        <v>27</v>
      </c>
    </row>
    <row r="117" spans="1:16" outlineLevel="1">
      <c r="A117" s="14" t="s">
        <v>924</v>
      </c>
      <c r="M117" s="3">
        <f>SUBTOTAL(9,M116:M116)</f>
        <v>0</v>
      </c>
      <c r="N117" s="3">
        <f>SUBTOTAL(9,N116:N116)</f>
        <v>0</v>
      </c>
    </row>
    <row r="118" spans="1:16" outlineLevel="2">
      <c r="A118" s="2" t="s">
        <v>195</v>
      </c>
      <c r="B118" s="2" t="s">
        <v>196</v>
      </c>
      <c r="C118" s="2" t="s">
        <v>197</v>
      </c>
      <c r="D118" s="3">
        <v>-929121455.85000002</v>
      </c>
      <c r="E118" s="2" t="s">
        <v>18</v>
      </c>
      <c r="F118" s="4" t="s">
        <v>19</v>
      </c>
      <c r="G118" s="5" t="s">
        <v>20</v>
      </c>
      <c r="H118" s="2" t="s">
        <v>21</v>
      </c>
      <c r="I118" s="2" t="s">
        <v>22</v>
      </c>
      <c r="J118" s="2" t="s">
        <v>23</v>
      </c>
      <c r="K118" s="3" t="s">
        <v>24</v>
      </c>
      <c r="L118" s="2" t="s">
        <v>25</v>
      </c>
      <c r="M118" s="3" t="s">
        <v>26</v>
      </c>
      <c r="N118" s="3" t="s">
        <v>26</v>
      </c>
      <c r="O118" s="3">
        <v>-929121455.85000002</v>
      </c>
      <c r="P118" s="2" t="s">
        <v>27</v>
      </c>
    </row>
    <row r="119" spans="1:16" outlineLevel="1">
      <c r="A119" s="14" t="s">
        <v>925</v>
      </c>
      <c r="M119" s="3">
        <f>SUBTOTAL(9,M118:M118)</f>
        <v>0</v>
      </c>
      <c r="N119" s="3">
        <f>SUBTOTAL(9,N118:N118)</f>
        <v>0</v>
      </c>
    </row>
    <row r="120" spans="1:16" outlineLevel="2">
      <c r="A120" s="2" t="s">
        <v>198</v>
      </c>
      <c r="B120" s="2" t="s">
        <v>199</v>
      </c>
      <c r="C120" s="2" t="s">
        <v>200</v>
      </c>
      <c r="D120" s="3">
        <v>20448893.859999999</v>
      </c>
      <c r="E120" s="2" t="s">
        <v>18</v>
      </c>
      <c r="F120" s="4" t="s">
        <v>19</v>
      </c>
      <c r="G120" s="5" t="s">
        <v>20</v>
      </c>
      <c r="H120" s="2" t="s">
        <v>21</v>
      </c>
      <c r="I120" s="2" t="s">
        <v>22</v>
      </c>
      <c r="J120" s="2" t="s">
        <v>23</v>
      </c>
      <c r="K120" s="3" t="s">
        <v>24</v>
      </c>
      <c r="L120" s="2" t="s">
        <v>25</v>
      </c>
      <c r="M120" s="3" t="s">
        <v>26</v>
      </c>
      <c r="N120" s="3" t="s">
        <v>26</v>
      </c>
      <c r="O120" s="3">
        <v>20448893.859999999</v>
      </c>
      <c r="P120" s="2" t="s">
        <v>27</v>
      </c>
    </row>
    <row r="121" spans="1:16" outlineLevel="1">
      <c r="A121" s="14" t="s">
        <v>926</v>
      </c>
      <c r="M121" s="3">
        <f>SUBTOTAL(9,M120:M120)</f>
        <v>0</v>
      </c>
      <c r="N121" s="3">
        <f>SUBTOTAL(9,N120:N120)</f>
        <v>0</v>
      </c>
    </row>
    <row r="122" spans="1:16" outlineLevel="2">
      <c r="A122" s="2" t="s">
        <v>201</v>
      </c>
      <c r="B122" s="2" t="s">
        <v>202</v>
      </c>
      <c r="C122" s="2" t="s">
        <v>203</v>
      </c>
      <c r="D122" s="3">
        <v>-1275212281.01</v>
      </c>
      <c r="E122" s="2" t="s">
        <v>18</v>
      </c>
      <c r="F122" s="4" t="s">
        <v>19</v>
      </c>
      <c r="G122" s="5" t="s">
        <v>20</v>
      </c>
      <c r="H122" s="2" t="s">
        <v>21</v>
      </c>
      <c r="I122" s="2" t="s">
        <v>22</v>
      </c>
      <c r="J122" s="2" t="s">
        <v>23</v>
      </c>
      <c r="K122" s="3" t="s">
        <v>24</v>
      </c>
      <c r="L122" s="2" t="s">
        <v>25</v>
      </c>
      <c r="M122" s="3" t="s">
        <v>26</v>
      </c>
      <c r="N122" s="3" t="s">
        <v>26</v>
      </c>
      <c r="O122" s="3">
        <v>-1275212281.01</v>
      </c>
      <c r="P122" s="2" t="s">
        <v>27</v>
      </c>
    </row>
    <row r="123" spans="1:16" outlineLevel="1">
      <c r="A123" s="14" t="s">
        <v>927</v>
      </c>
      <c r="M123" s="3">
        <f>SUBTOTAL(9,M122:M122)</f>
        <v>0</v>
      </c>
      <c r="N123" s="3">
        <f>SUBTOTAL(9,N122:N122)</f>
        <v>0</v>
      </c>
    </row>
    <row r="124" spans="1:16" outlineLevel="2">
      <c r="A124" s="2" t="s">
        <v>204</v>
      </c>
      <c r="B124" s="2" t="s">
        <v>205</v>
      </c>
      <c r="C124" s="2" t="s">
        <v>206</v>
      </c>
      <c r="D124" s="3">
        <v>-7877573506.9499998</v>
      </c>
      <c r="E124" s="2" t="s">
        <v>18</v>
      </c>
      <c r="F124" s="4" t="s">
        <v>19</v>
      </c>
      <c r="G124" s="5" t="s">
        <v>20</v>
      </c>
      <c r="H124" s="2" t="s">
        <v>21</v>
      </c>
      <c r="I124" s="2" t="s">
        <v>22</v>
      </c>
      <c r="J124" s="2" t="s">
        <v>23</v>
      </c>
      <c r="K124" s="3" t="s">
        <v>24</v>
      </c>
      <c r="L124" s="2" t="s">
        <v>25</v>
      </c>
      <c r="M124" s="3" t="s">
        <v>26</v>
      </c>
      <c r="N124" s="3" t="s">
        <v>26</v>
      </c>
      <c r="O124" s="3">
        <v>-7877573506.9499998</v>
      </c>
      <c r="P124" s="2" t="s">
        <v>27</v>
      </c>
    </row>
    <row r="125" spans="1:16" outlineLevel="1">
      <c r="A125" s="14" t="s">
        <v>928</v>
      </c>
      <c r="M125" s="3">
        <f>SUBTOTAL(9,M124:M124)</f>
        <v>0</v>
      </c>
      <c r="N125" s="3">
        <f>SUBTOTAL(9,N124:N124)</f>
        <v>0</v>
      </c>
    </row>
    <row r="126" spans="1:16" outlineLevel="2">
      <c r="A126" s="2" t="s">
        <v>207</v>
      </c>
      <c r="B126" s="2" t="s">
        <v>208</v>
      </c>
      <c r="C126" s="2" t="s">
        <v>71</v>
      </c>
      <c r="D126" s="3">
        <v>-22594855507.419998</v>
      </c>
      <c r="E126" s="2" t="s">
        <v>209</v>
      </c>
      <c r="F126" s="4">
        <v>46204</v>
      </c>
      <c r="G126" s="5">
        <v>901919178</v>
      </c>
      <c r="H126" s="2" t="s">
        <v>210</v>
      </c>
      <c r="I126" s="2" t="s">
        <v>211</v>
      </c>
      <c r="J126" s="2" t="s">
        <v>212</v>
      </c>
      <c r="K126" s="3" t="s">
        <v>24</v>
      </c>
      <c r="L126" s="2" t="s">
        <v>25</v>
      </c>
      <c r="M126" s="3" t="s">
        <v>26</v>
      </c>
      <c r="N126" s="3">
        <v>119503.38</v>
      </c>
      <c r="O126" s="3">
        <v>-22594975010.799999</v>
      </c>
      <c r="P126" s="2" t="s">
        <v>27</v>
      </c>
    </row>
    <row r="127" spans="1:16" outlineLevel="2">
      <c r="A127" s="2" t="s">
        <v>207</v>
      </c>
      <c r="B127" s="2" t="s">
        <v>208</v>
      </c>
      <c r="C127" s="2" t="s">
        <v>71</v>
      </c>
      <c r="D127" s="3">
        <v>-22594855507.419998</v>
      </c>
      <c r="E127" s="2" t="s">
        <v>213</v>
      </c>
      <c r="F127" s="4">
        <v>46205</v>
      </c>
      <c r="G127" s="5">
        <v>892301483</v>
      </c>
      <c r="H127" s="2" t="s">
        <v>214</v>
      </c>
      <c r="I127" s="2" t="s">
        <v>215</v>
      </c>
      <c r="J127" s="2" t="s">
        <v>216</v>
      </c>
      <c r="K127" s="3" t="s">
        <v>24</v>
      </c>
      <c r="L127" s="2" t="s">
        <v>25</v>
      </c>
      <c r="M127" s="3">
        <v>1837680</v>
      </c>
      <c r="N127" s="3" t="s">
        <v>26</v>
      </c>
      <c r="O127" s="3">
        <v>-22593137330.799999</v>
      </c>
      <c r="P127" s="2" t="s">
        <v>27</v>
      </c>
    </row>
    <row r="128" spans="1:16" outlineLevel="2">
      <c r="A128" s="2" t="s">
        <v>207</v>
      </c>
      <c r="B128" s="2" t="s">
        <v>208</v>
      </c>
      <c r="C128" s="2" t="s">
        <v>71</v>
      </c>
      <c r="D128" s="3">
        <v>-22594855507.419998</v>
      </c>
      <c r="E128" s="2" t="s">
        <v>217</v>
      </c>
      <c r="F128" s="4">
        <v>46205</v>
      </c>
      <c r="G128" s="5">
        <v>12524395</v>
      </c>
      <c r="H128" s="2" t="s">
        <v>218</v>
      </c>
      <c r="I128" s="2" t="s">
        <v>219</v>
      </c>
      <c r="J128" s="2" t="s">
        <v>220</v>
      </c>
      <c r="K128" s="3" t="s">
        <v>24</v>
      </c>
      <c r="L128" s="2" t="s">
        <v>25</v>
      </c>
      <c r="M128" s="3">
        <v>330030</v>
      </c>
      <c r="N128" s="3" t="s">
        <v>26</v>
      </c>
      <c r="O128" s="3">
        <v>-22592807300.799999</v>
      </c>
      <c r="P128" s="2" t="s">
        <v>27</v>
      </c>
    </row>
    <row r="129" spans="1:16" outlineLevel="2">
      <c r="A129" s="2" t="s">
        <v>207</v>
      </c>
      <c r="B129" s="2" t="s">
        <v>208</v>
      </c>
      <c r="C129" s="2" t="s">
        <v>71</v>
      </c>
      <c r="D129" s="3">
        <v>-22594855507.419998</v>
      </c>
      <c r="E129" s="2" t="s">
        <v>221</v>
      </c>
      <c r="F129" s="4">
        <v>46205</v>
      </c>
      <c r="G129" s="5">
        <v>901380949</v>
      </c>
      <c r="H129" s="2" t="s">
        <v>222</v>
      </c>
      <c r="I129" s="2" t="s">
        <v>223</v>
      </c>
      <c r="J129" s="2" t="s">
        <v>224</v>
      </c>
      <c r="K129" s="3" t="s">
        <v>24</v>
      </c>
      <c r="L129" s="2" t="s">
        <v>25</v>
      </c>
      <c r="M129" s="3">
        <v>18285500</v>
      </c>
      <c r="N129" s="3" t="s">
        <v>26</v>
      </c>
      <c r="O129" s="3">
        <v>-22574521800.799999</v>
      </c>
      <c r="P129" s="2" t="s">
        <v>27</v>
      </c>
    </row>
    <row r="130" spans="1:16" outlineLevel="2">
      <c r="A130" s="2" t="s">
        <v>207</v>
      </c>
      <c r="B130" s="2" t="s">
        <v>208</v>
      </c>
      <c r="C130" s="2" t="s">
        <v>71</v>
      </c>
      <c r="D130" s="3">
        <v>-22594855507.419998</v>
      </c>
      <c r="E130" s="2" t="s">
        <v>225</v>
      </c>
      <c r="F130" s="4">
        <v>46206</v>
      </c>
      <c r="G130" s="5">
        <v>9540062</v>
      </c>
      <c r="H130" s="2" t="s">
        <v>226</v>
      </c>
      <c r="I130" s="2" t="s">
        <v>227</v>
      </c>
      <c r="J130" s="2" t="s">
        <v>228</v>
      </c>
      <c r="K130" s="3" t="s">
        <v>24</v>
      </c>
      <c r="L130" s="2" t="s">
        <v>25</v>
      </c>
      <c r="M130" s="3">
        <v>2000000</v>
      </c>
      <c r="N130" s="3" t="s">
        <v>26</v>
      </c>
      <c r="O130" s="3">
        <v>-22572521800.799999</v>
      </c>
      <c r="P130" s="2" t="s">
        <v>27</v>
      </c>
    </row>
    <row r="131" spans="1:16" outlineLevel="2">
      <c r="A131" s="2" t="s">
        <v>207</v>
      </c>
      <c r="B131" s="2" t="s">
        <v>208</v>
      </c>
      <c r="C131" s="2" t="s">
        <v>71</v>
      </c>
      <c r="D131" s="3">
        <v>-22594855507.419998</v>
      </c>
      <c r="E131" s="2" t="s">
        <v>229</v>
      </c>
      <c r="F131" s="4">
        <v>46206</v>
      </c>
      <c r="G131" s="5">
        <v>9540062</v>
      </c>
      <c r="H131" s="2" t="s">
        <v>226</v>
      </c>
      <c r="I131" s="2" t="s">
        <v>227</v>
      </c>
      <c r="J131" s="2" t="s">
        <v>230</v>
      </c>
      <c r="K131" s="3" t="s">
        <v>24</v>
      </c>
      <c r="L131" s="2" t="s">
        <v>25</v>
      </c>
      <c r="M131" s="3" t="s">
        <v>26</v>
      </c>
      <c r="N131" s="3">
        <v>1980000</v>
      </c>
      <c r="O131" s="3">
        <v>-22574501800.799999</v>
      </c>
      <c r="P131" s="2" t="s">
        <v>27</v>
      </c>
    </row>
    <row r="132" spans="1:16" outlineLevel="2">
      <c r="A132" s="2" t="s">
        <v>207</v>
      </c>
      <c r="B132" s="2" t="s">
        <v>208</v>
      </c>
      <c r="C132" s="2" t="s">
        <v>71</v>
      </c>
      <c r="D132" s="3">
        <v>-22594855507.419998</v>
      </c>
      <c r="E132" s="2" t="s">
        <v>231</v>
      </c>
      <c r="F132" s="4">
        <v>46206</v>
      </c>
      <c r="G132" s="5">
        <v>9540062</v>
      </c>
      <c r="H132" s="2" t="s">
        <v>226</v>
      </c>
      <c r="I132" s="2" t="s">
        <v>232</v>
      </c>
      <c r="J132" s="2" t="s">
        <v>228</v>
      </c>
      <c r="K132" s="3" t="s">
        <v>24</v>
      </c>
      <c r="L132" s="2" t="s">
        <v>25</v>
      </c>
      <c r="M132" s="3" t="s">
        <v>26</v>
      </c>
      <c r="N132" s="3">
        <v>2000000</v>
      </c>
      <c r="O132" s="3">
        <v>-22576501800.799999</v>
      </c>
      <c r="P132" s="2" t="s">
        <v>27</v>
      </c>
    </row>
    <row r="133" spans="1:16" outlineLevel="2">
      <c r="A133" s="2" t="s">
        <v>207</v>
      </c>
      <c r="B133" s="2" t="s">
        <v>208</v>
      </c>
      <c r="C133" s="2" t="s">
        <v>71</v>
      </c>
      <c r="D133" s="3">
        <v>-22594855507.419998</v>
      </c>
      <c r="E133" s="2" t="s">
        <v>233</v>
      </c>
      <c r="F133" s="4">
        <v>46206</v>
      </c>
      <c r="G133" s="5">
        <v>900375701</v>
      </c>
      <c r="H133" s="2" t="s">
        <v>234</v>
      </c>
      <c r="I133" s="2" t="s">
        <v>235</v>
      </c>
      <c r="J133" s="2" t="s">
        <v>236</v>
      </c>
      <c r="K133" s="3" t="s">
        <v>24</v>
      </c>
      <c r="L133" s="2" t="s">
        <v>25</v>
      </c>
      <c r="M133" s="3" t="s">
        <v>26</v>
      </c>
      <c r="N133" s="3">
        <v>238870.89</v>
      </c>
      <c r="O133" s="3">
        <v>-22576740671.689999</v>
      </c>
      <c r="P133" s="2" t="s">
        <v>27</v>
      </c>
    </row>
    <row r="134" spans="1:16" outlineLevel="2">
      <c r="A134" s="2" t="s">
        <v>207</v>
      </c>
      <c r="B134" s="2" t="s">
        <v>208</v>
      </c>
      <c r="C134" s="2" t="s">
        <v>71</v>
      </c>
      <c r="D134" s="3">
        <v>-22594855507.419998</v>
      </c>
      <c r="E134" s="2" t="s">
        <v>237</v>
      </c>
      <c r="F134" s="4">
        <v>46206</v>
      </c>
      <c r="G134" s="5">
        <v>901370014</v>
      </c>
      <c r="H134" s="2" t="s">
        <v>238</v>
      </c>
      <c r="I134" s="2" t="s">
        <v>239</v>
      </c>
      <c r="J134" s="2" t="s">
        <v>240</v>
      </c>
      <c r="K134" s="3" t="s">
        <v>24</v>
      </c>
      <c r="L134" s="2" t="s">
        <v>25</v>
      </c>
      <c r="M134" s="3" t="s">
        <v>26</v>
      </c>
      <c r="N134" s="3">
        <v>104700</v>
      </c>
      <c r="O134" s="3">
        <v>-22576845371.689999</v>
      </c>
      <c r="P134" s="2" t="s">
        <v>27</v>
      </c>
    </row>
    <row r="135" spans="1:16" outlineLevel="2">
      <c r="A135" s="2" t="s">
        <v>207</v>
      </c>
      <c r="B135" s="2" t="s">
        <v>208</v>
      </c>
      <c r="C135" s="2" t="s">
        <v>71</v>
      </c>
      <c r="D135" s="3">
        <v>-22594855507.419998</v>
      </c>
      <c r="E135" s="2" t="s">
        <v>241</v>
      </c>
      <c r="F135" s="4">
        <v>46218</v>
      </c>
      <c r="G135" s="5">
        <v>805009601</v>
      </c>
      <c r="H135" s="2" t="s">
        <v>242</v>
      </c>
      <c r="I135" s="2" t="s">
        <v>66</v>
      </c>
      <c r="J135" s="2" t="s">
        <v>243</v>
      </c>
      <c r="K135" s="3" t="s">
        <v>24</v>
      </c>
      <c r="L135" s="2" t="s">
        <v>25</v>
      </c>
      <c r="M135" s="3" t="s">
        <v>26</v>
      </c>
      <c r="N135" s="3">
        <v>865260</v>
      </c>
      <c r="O135" s="3">
        <v>-22577710631.689999</v>
      </c>
      <c r="P135" s="2" t="s">
        <v>27</v>
      </c>
    </row>
    <row r="136" spans="1:16" outlineLevel="2">
      <c r="A136" s="2" t="s">
        <v>207</v>
      </c>
      <c r="B136" s="2" t="s">
        <v>208</v>
      </c>
      <c r="C136" s="2" t="s">
        <v>71</v>
      </c>
      <c r="D136" s="3">
        <v>-22594855507.419998</v>
      </c>
      <c r="E136" s="2" t="s">
        <v>244</v>
      </c>
      <c r="F136" s="4">
        <v>46219</v>
      </c>
      <c r="G136" s="5">
        <v>12524395</v>
      </c>
      <c r="H136" s="2" t="s">
        <v>218</v>
      </c>
      <c r="I136" s="2" t="s">
        <v>245</v>
      </c>
      <c r="J136" s="2" t="s">
        <v>246</v>
      </c>
      <c r="K136" s="3" t="s">
        <v>24</v>
      </c>
      <c r="L136" s="2" t="s">
        <v>25</v>
      </c>
      <c r="M136" s="3">
        <v>240285</v>
      </c>
      <c r="N136" s="3" t="s">
        <v>26</v>
      </c>
      <c r="O136" s="3">
        <v>-22577470346.689999</v>
      </c>
      <c r="P136" s="2" t="s">
        <v>27</v>
      </c>
    </row>
    <row r="137" spans="1:16" outlineLevel="2">
      <c r="A137" s="2" t="s">
        <v>207</v>
      </c>
      <c r="B137" s="2" t="s">
        <v>208</v>
      </c>
      <c r="C137" s="2" t="s">
        <v>71</v>
      </c>
      <c r="D137" s="3">
        <v>-22594855507.419998</v>
      </c>
      <c r="E137" s="2" t="s">
        <v>247</v>
      </c>
      <c r="F137" s="4">
        <v>46219</v>
      </c>
      <c r="G137" s="5">
        <v>901047340</v>
      </c>
      <c r="H137" s="2" t="s">
        <v>248</v>
      </c>
      <c r="I137" s="2" t="s">
        <v>64</v>
      </c>
      <c r="J137" s="2" t="s">
        <v>249</v>
      </c>
      <c r="K137" s="3" t="s">
        <v>24</v>
      </c>
      <c r="L137" s="2" t="s">
        <v>25</v>
      </c>
      <c r="M137" s="3" t="s">
        <v>26</v>
      </c>
      <c r="N137" s="3">
        <v>394975</v>
      </c>
      <c r="O137" s="3">
        <v>-22577865321.689999</v>
      </c>
      <c r="P137" s="2" t="s">
        <v>27</v>
      </c>
    </row>
    <row r="138" spans="1:16" outlineLevel="2">
      <c r="A138" s="2" t="s">
        <v>207</v>
      </c>
      <c r="B138" s="2" t="s">
        <v>208</v>
      </c>
      <c r="C138" s="2" t="s">
        <v>71</v>
      </c>
      <c r="D138" s="3">
        <v>-22594855507.419998</v>
      </c>
      <c r="E138" s="2" t="s">
        <v>250</v>
      </c>
      <c r="F138" s="4">
        <v>46220</v>
      </c>
      <c r="G138" s="5">
        <v>901145581</v>
      </c>
      <c r="H138" s="2" t="s">
        <v>251</v>
      </c>
      <c r="I138" s="2" t="s">
        <v>62</v>
      </c>
      <c r="J138" s="2" t="s">
        <v>252</v>
      </c>
      <c r="K138" s="3" t="s">
        <v>24</v>
      </c>
      <c r="L138" s="2" t="s">
        <v>25</v>
      </c>
      <c r="M138" s="3" t="s">
        <v>26</v>
      </c>
      <c r="N138" s="3">
        <v>321456.27</v>
      </c>
      <c r="O138" s="3">
        <v>-22578186777.959999</v>
      </c>
      <c r="P138" s="2" t="s">
        <v>27</v>
      </c>
    </row>
    <row r="139" spans="1:16" outlineLevel="2">
      <c r="A139" s="2" t="s">
        <v>207</v>
      </c>
      <c r="B139" s="2" t="s">
        <v>208</v>
      </c>
      <c r="C139" s="2" t="s">
        <v>71</v>
      </c>
      <c r="D139" s="3">
        <v>-22594855507.419998</v>
      </c>
      <c r="E139" s="2" t="s">
        <v>253</v>
      </c>
      <c r="F139" s="4">
        <v>46224</v>
      </c>
      <c r="G139" s="5">
        <v>901145581</v>
      </c>
      <c r="H139" s="2" t="s">
        <v>251</v>
      </c>
      <c r="I139" s="2" t="s">
        <v>254</v>
      </c>
      <c r="J139" s="2" t="s">
        <v>252</v>
      </c>
      <c r="K139" s="3" t="s">
        <v>24</v>
      </c>
      <c r="L139" s="2" t="s">
        <v>25</v>
      </c>
      <c r="M139" s="3">
        <v>321456.27</v>
      </c>
      <c r="N139" s="3" t="s">
        <v>26</v>
      </c>
      <c r="O139" s="3">
        <v>-22577865321.689999</v>
      </c>
      <c r="P139" s="2" t="s">
        <v>27</v>
      </c>
    </row>
    <row r="140" spans="1:16" outlineLevel="2">
      <c r="A140" s="2" t="s">
        <v>207</v>
      </c>
      <c r="B140" s="2" t="s">
        <v>208</v>
      </c>
      <c r="C140" s="2" t="s">
        <v>71</v>
      </c>
      <c r="D140" s="3">
        <v>-22594855507.419998</v>
      </c>
      <c r="E140" s="2" t="s">
        <v>255</v>
      </c>
      <c r="F140" s="4">
        <v>46224</v>
      </c>
      <c r="G140" s="5">
        <v>901047340</v>
      </c>
      <c r="H140" s="2" t="s">
        <v>248</v>
      </c>
      <c r="I140" s="2" t="s">
        <v>256</v>
      </c>
      <c r="J140" s="2" t="s">
        <v>249</v>
      </c>
      <c r="K140" s="3" t="s">
        <v>24</v>
      </c>
      <c r="L140" s="2" t="s">
        <v>25</v>
      </c>
      <c r="M140" s="3">
        <v>394975</v>
      </c>
      <c r="N140" s="3" t="s">
        <v>26</v>
      </c>
      <c r="O140" s="3">
        <v>-22577470346.689999</v>
      </c>
      <c r="P140" s="2" t="s">
        <v>27</v>
      </c>
    </row>
    <row r="141" spans="1:16" outlineLevel="2">
      <c r="A141" s="2" t="s">
        <v>207</v>
      </c>
      <c r="B141" s="2" t="s">
        <v>208</v>
      </c>
      <c r="C141" s="2" t="s">
        <v>71</v>
      </c>
      <c r="D141" s="3">
        <v>-22594855507.419998</v>
      </c>
      <c r="E141" s="2" t="s">
        <v>257</v>
      </c>
      <c r="F141" s="4">
        <v>46224</v>
      </c>
      <c r="G141" s="5">
        <v>805009601</v>
      </c>
      <c r="H141" s="2" t="s">
        <v>242</v>
      </c>
      <c r="I141" s="2" t="s">
        <v>258</v>
      </c>
      <c r="J141" s="2" t="s">
        <v>259</v>
      </c>
      <c r="K141" s="3" t="s">
        <v>24</v>
      </c>
      <c r="L141" s="2" t="s">
        <v>25</v>
      </c>
      <c r="M141" s="3">
        <v>865260</v>
      </c>
      <c r="N141" s="3" t="s">
        <v>26</v>
      </c>
      <c r="O141" s="3">
        <v>-22576605086.689999</v>
      </c>
      <c r="P141" s="2" t="s">
        <v>27</v>
      </c>
    </row>
    <row r="142" spans="1:16" outlineLevel="2">
      <c r="A142" s="2" t="s">
        <v>207</v>
      </c>
      <c r="B142" s="2" t="s">
        <v>208</v>
      </c>
      <c r="C142" s="2" t="s">
        <v>71</v>
      </c>
      <c r="D142" s="3">
        <v>-22594855507.419998</v>
      </c>
      <c r="E142" s="2" t="s">
        <v>260</v>
      </c>
      <c r="F142" s="4">
        <v>46224</v>
      </c>
      <c r="G142" s="5">
        <v>860507441</v>
      </c>
      <c r="H142" s="2" t="s">
        <v>261</v>
      </c>
      <c r="I142" s="2" t="s">
        <v>262</v>
      </c>
      <c r="J142" s="2" t="s">
        <v>263</v>
      </c>
      <c r="K142" s="3" t="s">
        <v>24</v>
      </c>
      <c r="L142" s="2" t="s">
        <v>25</v>
      </c>
      <c r="M142" s="3" t="s">
        <v>26</v>
      </c>
      <c r="N142" s="3">
        <v>2173745.16</v>
      </c>
      <c r="O142" s="3">
        <v>-22578778831.849998</v>
      </c>
      <c r="P142" s="2" t="s">
        <v>27</v>
      </c>
    </row>
    <row r="143" spans="1:16" outlineLevel="2">
      <c r="A143" s="2" t="s">
        <v>207</v>
      </c>
      <c r="B143" s="2" t="s">
        <v>208</v>
      </c>
      <c r="C143" s="2" t="s">
        <v>71</v>
      </c>
      <c r="D143" s="3">
        <v>-22594855507.419998</v>
      </c>
      <c r="E143" s="2" t="s">
        <v>264</v>
      </c>
      <c r="F143" s="4">
        <v>46224</v>
      </c>
      <c r="G143" s="5">
        <v>824006407</v>
      </c>
      <c r="H143" s="2" t="s">
        <v>265</v>
      </c>
      <c r="I143" s="2" t="s">
        <v>266</v>
      </c>
      <c r="J143" s="2" t="s">
        <v>267</v>
      </c>
      <c r="K143" s="3" t="s">
        <v>24</v>
      </c>
      <c r="L143" s="2" t="s">
        <v>25</v>
      </c>
      <c r="M143" s="3" t="s">
        <v>26</v>
      </c>
      <c r="N143" s="3">
        <v>289710</v>
      </c>
      <c r="O143" s="3">
        <v>-22579068541.849998</v>
      </c>
      <c r="P143" s="2" t="s">
        <v>27</v>
      </c>
    </row>
    <row r="144" spans="1:16" outlineLevel="2">
      <c r="A144" s="2" t="s">
        <v>207</v>
      </c>
      <c r="B144" s="2" t="s">
        <v>208</v>
      </c>
      <c r="C144" s="2" t="s">
        <v>71</v>
      </c>
      <c r="D144" s="3">
        <v>-22594855507.419998</v>
      </c>
      <c r="E144" s="2" t="s">
        <v>268</v>
      </c>
      <c r="F144" s="4">
        <v>46224</v>
      </c>
      <c r="G144" s="5">
        <v>900491889</v>
      </c>
      <c r="H144" s="2" t="s">
        <v>269</v>
      </c>
      <c r="I144" s="2" t="s">
        <v>270</v>
      </c>
      <c r="J144" s="2" t="s">
        <v>271</v>
      </c>
      <c r="K144" s="3" t="s">
        <v>24</v>
      </c>
      <c r="L144" s="2" t="s">
        <v>25</v>
      </c>
      <c r="M144" s="3" t="s">
        <v>26</v>
      </c>
      <c r="N144" s="3">
        <v>35800</v>
      </c>
      <c r="O144" s="3">
        <v>-22579104341.849998</v>
      </c>
      <c r="P144" s="2" t="s">
        <v>27</v>
      </c>
    </row>
    <row r="145" spans="1:16" outlineLevel="2">
      <c r="A145" s="2" t="s">
        <v>207</v>
      </c>
      <c r="B145" s="2" t="s">
        <v>208</v>
      </c>
      <c r="C145" s="2" t="s">
        <v>71</v>
      </c>
      <c r="D145" s="3">
        <v>-22594855507.419998</v>
      </c>
      <c r="E145" s="2" t="s">
        <v>272</v>
      </c>
      <c r="F145" s="4">
        <v>46233</v>
      </c>
      <c r="G145" s="5">
        <v>900467239</v>
      </c>
      <c r="H145" s="2" t="s">
        <v>273</v>
      </c>
      <c r="I145" s="2" t="s">
        <v>274</v>
      </c>
      <c r="J145" s="2" t="s">
        <v>275</v>
      </c>
      <c r="K145" s="3" t="s">
        <v>24</v>
      </c>
      <c r="L145" s="2" t="s">
        <v>25</v>
      </c>
      <c r="M145" s="3">
        <v>46843824</v>
      </c>
      <c r="N145" s="3" t="s">
        <v>26</v>
      </c>
      <c r="O145" s="3">
        <v>-22532260517.849998</v>
      </c>
      <c r="P145" s="2" t="s">
        <v>27</v>
      </c>
    </row>
    <row r="146" spans="1:16" outlineLevel="2">
      <c r="A146" s="2" t="s">
        <v>207</v>
      </c>
      <c r="B146" s="2" t="s">
        <v>208</v>
      </c>
      <c r="C146" s="2" t="s">
        <v>71</v>
      </c>
      <c r="D146" s="3">
        <v>-22594855507.419998</v>
      </c>
      <c r="E146" s="2" t="s">
        <v>276</v>
      </c>
      <c r="F146" s="4">
        <v>46233</v>
      </c>
      <c r="G146" s="5">
        <v>900467239</v>
      </c>
      <c r="H146" s="2" t="s">
        <v>273</v>
      </c>
      <c r="I146" s="2" t="s">
        <v>277</v>
      </c>
      <c r="J146" s="2" t="s">
        <v>278</v>
      </c>
      <c r="K146" s="3" t="s">
        <v>24</v>
      </c>
      <c r="L146" s="2" t="s">
        <v>25</v>
      </c>
      <c r="M146" s="3" t="s">
        <v>26</v>
      </c>
      <c r="N146" s="3">
        <v>50010695</v>
      </c>
      <c r="O146" s="3">
        <v>-22582271212.849998</v>
      </c>
      <c r="P146" s="2" t="s">
        <v>27</v>
      </c>
    </row>
    <row r="147" spans="1:16" outlineLevel="2">
      <c r="A147" s="2" t="s">
        <v>207</v>
      </c>
      <c r="B147" s="2" t="s">
        <v>208</v>
      </c>
      <c r="C147" s="2" t="s">
        <v>71</v>
      </c>
      <c r="D147" s="3">
        <v>-22594855507.419998</v>
      </c>
      <c r="E147" s="2" t="s">
        <v>279</v>
      </c>
      <c r="F147" s="4">
        <v>46233</v>
      </c>
      <c r="G147" s="5">
        <v>12524395</v>
      </c>
      <c r="H147" s="2" t="s">
        <v>218</v>
      </c>
      <c r="I147" s="2" t="s">
        <v>51</v>
      </c>
      <c r="J147" s="2" t="s">
        <v>280</v>
      </c>
      <c r="K147" s="3" t="s">
        <v>24</v>
      </c>
      <c r="L147" s="2" t="s">
        <v>25</v>
      </c>
      <c r="M147" s="3" t="s">
        <v>26</v>
      </c>
      <c r="N147" s="3">
        <v>312000</v>
      </c>
      <c r="O147" s="3">
        <v>-22582583212.849998</v>
      </c>
      <c r="P147" s="2" t="s">
        <v>27</v>
      </c>
    </row>
    <row r="148" spans="1:16" outlineLevel="2">
      <c r="A148" s="2" t="s">
        <v>207</v>
      </c>
      <c r="B148" s="2" t="s">
        <v>208</v>
      </c>
      <c r="C148" s="2" t="s">
        <v>71</v>
      </c>
      <c r="D148" s="3">
        <v>-22594855507.419998</v>
      </c>
      <c r="E148" s="2" t="s">
        <v>281</v>
      </c>
      <c r="F148" s="4">
        <v>46234</v>
      </c>
      <c r="G148" s="5">
        <v>9540062</v>
      </c>
      <c r="H148" s="2" t="s">
        <v>226</v>
      </c>
      <c r="I148" s="2" t="s">
        <v>282</v>
      </c>
      <c r="J148" s="2" t="s">
        <v>283</v>
      </c>
      <c r="K148" s="3" t="s">
        <v>24</v>
      </c>
      <c r="L148" s="2" t="s">
        <v>25</v>
      </c>
      <c r="M148" s="3">
        <v>2000000</v>
      </c>
      <c r="N148" s="3" t="s">
        <v>26</v>
      </c>
      <c r="O148" s="3">
        <v>-22580583212.849998</v>
      </c>
      <c r="P148" s="2" t="s">
        <v>27</v>
      </c>
    </row>
    <row r="149" spans="1:16" outlineLevel="2">
      <c r="A149" s="2" t="s">
        <v>207</v>
      </c>
      <c r="B149" s="2" t="s">
        <v>208</v>
      </c>
      <c r="C149" s="2" t="s">
        <v>71</v>
      </c>
      <c r="D149" s="3">
        <v>-22594855507.419998</v>
      </c>
      <c r="E149" s="2" t="s">
        <v>284</v>
      </c>
      <c r="F149" s="4">
        <v>46234</v>
      </c>
      <c r="G149" s="5">
        <v>9540062</v>
      </c>
      <c r="H149" s="2" t="s">
        <v>226</v>
      </c>
      <c r="I149" s="2" t="s">
        <v>232</v>
      </c>
      <c r="J149" s="2" t="s">
        <v>285</v>
      </c>
      <c r="K149" s="3" t="s">
        <v>24</v>
      </c>
      <c r="L149" s="2" t="s">
        <v>25</v>
      </c>
      <c r="M149" s="3" t="s">
        <v>26</v>
      </c>
      <c r="N149" s="3">
        <v>1980000</v>
      </c>
      <c r="O149" s="3">
        <v>-22582563212.849998</v>
      </c>
      <c r="P149" s="2" t="s">
        <v>27</v>
      </c>
    </row>
    <row r="150" spans="1:16" outlineLevel="2">
      <c r="A150" s="2" t="s">
        <v>207</v>
      </c>
      <c r="B150" s="2" t="s">
        <v>208</v>
      </c>
      <c r="C150" s="2" t="s">
        <v>71</v>
      </c>
      <c r="D150" s="3">
        <v>-22594855507.419998</v>
      </c>
      <c r="E150" s="2" t="s">
        <v>286</v>
      </c>
      <c r="F150" s="4">
        <v>46234</v>
      </c>
      <c r="G150" s="5">
        <v>1193224566</v>
      </c>
      <c r="H150" s="2" t="s">
        <v>287</v>
      </c>
      <c r="I150" s="2" t="s">
        <v>288</v>
      </c>
      <c r="J150" s="2" t="s">
        <v>289</v>
      </c>
      <c r="K150" s="3" t="s">
        <v>24</v>
      </c>
      <c r="L150" s="2" t="s">
        <v>25</v>
      </c>
      <c r="M150" s="3">
        <v>45000</v>
      </c>
      <c r="N150" s="3" t="s">
        <v>26</v>
      </c>
      <c r="O150" s="3">
        <v>-22582518212.849998</v>
      </c>
      <c r="P150" s="2" t="s">
        <v>27</v>
      </c>
    </row>
    <row r="151" spans="1:16" outlineLevel="2">
      <c r="A151" s="2" t="s">
        <v>207</v>
      </c>
      <c r="B151" s="2" t="s">
        <v>208</v>
      </c>
      <c r="C151" s="2" t="s">
        <v>71</v>
      </c>
      <c r="D151" s="3">
        <v>-22594855507.419998</v>
      </c>
      <c r="E151" s="2" t="s">
        <v>290</v>
      </c>
      <c r="F151" s="4">
        <v>46234</v>
      </c>
      <c r="G151" s="5">
        <v>26666567</v>
      </c>
      <c r="H151" s="2" t="s">
        <v>291</v>
      </c>
      <c r="I151" s="2" t="s">
        <v>292</v>
      </c>
      <c r="J151" s="2" t="s">
        <v>293</v>
      </c>
      <c r="K151" s="3" t="s">
        <v>24</v>
      </c>
      <c r="L151" s="2" t="s">
        <v>25</v>
      </c>
      <c r="M151" s="3">
        <v>55800</v>
      </c>
      <c r="N151" s="3" t="s">
        <v>26</v>
      </c>
      <c r="O151" s="3">
        <v>-22582462412.849998</v>
      </c>
      <c r="P151" s="2" t="s">
        <v>27</v>
      </c>
    </row>
    <row r="152" spans="1:16" outlineLevel="2">
      <c r="A152" s="2" t="s">
        <v>207</v>
      </c>
      <c r="B152" s="2" t="s">
        <v>208</v>
      </c>
      <c r="C152" s="2" t="s">
        <v>71</v>
      </c>
      <c r="D152" s="3">
        <v>-22594855507.419998</v>
      </c>
      <c r="E152" s="2" t="s">
        <v>294</v>
      </c>
      <c r="F152" s="4">
        <v>46234</v>
      </c>
      <c r="G152" s="5">
        <v>1065873176</v>
      </c>
      <c r="H152" s="2" t="s">
        <v>295</v>
      </c>
      <c r="I152" s="2" t="s">
        <v>296</v>
      </c>
      <c r="J152" s="2" t="s">
        <v>297</v>
      </c>
      <c r="K152" s="3" t="s">
        <v>24</v>
      </c>
      <c r="L152" s="2" t="s">
        <v>25</v>
      </c>
      <c r="M152" s="3">
        <v>107000</v>
      </c>
      <c r="N152" s="3" t="s">
        <v>26</v>
      </c>
      <c r="O152" s="3">
        <v>-22582355412.849998</v>
      </c>
      <c r="P152" s="2" t="s">
        <v>27</v>
      </c>
    </row>
    <row r="153" spans="1:16" outlineLevel="2">
      <c r="A153" s="2" t="s">
        <v>207</v>
      </c>
      <c r="B153" s="2" t="s">
        <v>208</v>
      </c>
      <c r="C153" s="2" t="s">
        <v>71</v>
      </c>
      <c r="D153" s="3">
        <v>-22594855507.419998</v>
      </c>
      <c r="E153" s="2" t="s">
        <v>298</v>
      </c>
      <c r="F153" s="4">
        <v>46234</v>
      </c>
      <c r="G153" s="5">
        <v>1067720548</v>
      </c>
      <c r="H153" s="2" t="s">
        <v>299</v>
      </c>
      <c r="I153" s="2" t="s">
        <v>300</v>
      </c>
      <c r="J153" s="2" t="s">
        <v>301</v>
      </c>
      <c r="K153" s="3" t="s">
        <v>24</v>
      </c>
      <c r="L153" s="2" t="s">
        <v>25</v>
      </c>
      <c r="M153" s="3">
        <v>400000</v>
      </c>
      <c r="N153" s="3" t="s">
        <v>26</v>
      </c>
      <c r="O153" s="3">
        <v>-22581955412.849998</v>
      </c>
      <c r="P153" s="2" t="s">
        <v>27</v>
      </c>
    </row>
    <row r="154" spans="1:16" outlineLevel="2">
      <c r="A154" s="2" t="s">
        <v>207</v>
      </c>
      <c r="B154" s="2" t="s">
        <v>208</v>
      </c>
      <c r="C154" s="2" t="s">
        <v>71</v>
      </c>
      <c r="D154" s="3">
        <v>-22594855507.419998</v>
      </c>
      <c r="E154" s="2" t="s">
        <v>302</v>
      </c>
      <c r="F154" s="4">
        <v>46234</v>
      </c>
      <c r="G154" s="5">
        <v>77093599</v>
      </c>
      <c r="H154" s="2" t="s">
        <v>303</v>
      </c>
      <c r="I154" s="2" t="s">
        <v>304</v>
      </c>
      <c r="J154" s="2" t="s">
        <v>305</v>
      </c>
      <c r="K154" s="3" t="s">
        <v>24</v>
      </c>
      <c r="L154" s="2" t="s">
        <v>25</v>
      </c>
      <c r="M154" s="3">
        <v>16000</v>
      </c>
      <c r="N154" s="3" t="s">
        <v>26</v>
      </c>
      <c r="O154" s="3">
        <v>-22581939412.849998</v>
      </c>
      <c r="P154" s="2" t="s">
        <v>27</v>
      </c>
    </row>
    <row r="155" spans="1:16" outlineLevel="2">
      <c r="A155" s="2" t="s">
        <v>207</v>
      </c>
      <c r="B155" s="2" t="s">
        <v>208</v>
      </c>
      <c r="C155" s="2" t="s">
        <v>71</v>
      </c>
      <c r="D155" s="3">
        <v>-22594855507.419998</v>
      </c>
      <c r="E155" s="2" t="s">
        <v>306</v>
      </c>
      <c r="F155" s="4">
        <v>46234</v>
      </c>
      <c r="G155" s="5">
        <v>1067710598</v>
      </c>
      <c r="H155" s="2" t="s">
        <v>307</v>
      </c>
      <c r="I155" s="2" t="s">
        <v>308</v>
      </c>
      <c r="J155" s="2" t="s">
        <v>309</v>
      </c>
      <c r="K155" s="3" t="s">
        <v>24</v>
      </c>
      <c r="L155" s="2" t="s">
        <v>25</v>
      </c>
      <c r="M155" s="3">
        <v>1200000</v>
      </c>
      <c r="N155" s="3" t="s">
        <v>26</v>
      </c>
      <c r="O155" s="3">
        <v>-22580739412.849998</v>
      </c>
      <c r="P155" s="2" t="s">
        <v>27</v>
      </c>
    </row>
    <row r="156" spans="1:16" outlineLevel="2">
      <c r="A156" s="2" t="s">
        <v>207</v>
      </c>
      <c r="B156" s="2" t="s">
        <v>208</v>
      </c>
      <c r="C156" s="2" t="s">
        <v>71</v>
      </c>
      <c r="D156" s="3">
        <v>-22594855507.419998</v>
      </c>
      <c r="E156" s="2" t="s">
        <v>310</v>
      </c>
      <c r="F156" s="4">
        <v>46234</v>
      </c>
      <c r="G156" s="5">
        <v>1064119619</v>
      </c>
      <c r="H156" s="2" t="s">
        <v>311</v>
      </c>
      <c r="I156" s="2" t="s">
        <v>312</v>
      </c>
      <c r="J156" s="2" t="s">
        <v>313</v>
      </c>
      <c r="K156" s="3" t="s">
        <v>24</v>
      </c>
      <c r="L156" s="2" t="s">
        <v>25</v>
      </c>
      <c r="M156" s="3">
        <v>360000</v>
      </c>
      <c r="N156" s="3" t="s">
        <v>26</v>
      </c>
      <c r="O156" s="3">
        <v>-22580379412.849998</v>
      </c>
      <c r="P156" s="2" t="s">
        <v>27</v>
      </c>
    </row>
    <row r="157" spans="1:16" outlineLevel="2">
      <c r="A157" s="2" t="s">
        <v>207</v>
      </c>
      <c r="B157" s="2" t="s">
        <v>208</v>
      </c>
      <c r="C157" s="2" t="s">
        <v>71</v>
      </c>
      <c r="D157" s="3">
        <v>-22594855507.419998</v>
      </c>
      <c r="E157" s="2" t="s">
        <v>314</v>
      </c>
      <c r="F157" s="4">
        <v>46234</v>
      </c>
      <c r="G157" s="5">
        <v>1193224566</v>
      </c>
      <c r="H157" s="2" t="s">
        <v>287</v>
      </c>
      <c r="I157" s="2" t="s">
        <v>315</v>
      </c>
      <c r="J157" s="2" t="s">
        <v>289</v>
      </c>
      <c r="K157" s="3" t="s">
        <v>24</v>
      </c>
      <c r="L157" s="2" t="s">
        <v>25</v>
      </c>
      <c r="M157" s="3" t="s">
        <v>26</v>
      </c>
      <c r="N157" s="3">
        <v>45000</v>
      </c>
      <c r="O157" s="3">
        <v>-22580424412.849998</v>
      </c>
      <c r="P157" s="2" t="s">
        <v>27</v>
      </c>
    </row>
    <row r="158" spans="1:16" outlineLevel="2">
      <c r="A158" s="2" t="s">
        <v>207</v>
      </c>
      <c r="B158" s="2" t="s">
        <v>208</v>
      </c>
      <c r="C158" s="2" t="s">
        <v>71</v>
      </c>
      <c r="D158" s="3">
        <v>-22594855507.419998</v>
      </c>
      <c r="E158" s="2" t="s">
        <v>316</v>
      </c>
      <c r="F158" s="4">
        <v>46234</v>
      </c>
      <c r="G158" s="5">
        <v>26666567</v>
      </c>
      <c r="H158" s="2" t="s">
        <v>291</v>
      </c>
      <c r="I158" s="2" t="s">
        <v>317</v>
      </c>
      <c r="J158" s="2" t="s">
        <v>293</v>
      </c>
      <c r="K158" s="3" t="s">
        <v>24</v>
      </c>
      <c r="L158" s="2" t="s">
        <v>25</v>
      </c>
      <c r="M158" s="3" t="s">
        <v>26</v>
      </c>
      <c r="N158" s="3">
        <v>55800</v>
      </c>
      <c r="O158" s="3">
        <v>-22580480212.849998</v>
      </c>
      <c r="P158" s="2" t="s">
        <v>27</v>
      </c>
    </row>
    <row r="159" spans="1:16" outlineLevel="2">
      <c r="A159" s="2" t="s">
        <v>207</v>
      </c>
      <c r="B159" s="2" t="s">
        <v>208</v>
      </c>
      <c r="C159" s="2" t="s">
        <v>71</v>
      </c>
      <c r="D159" s="3">
        <v>-22594855507.419998</v>
      </c>
      <c r="E159" s="2" t="s">
        <v>318</v>
      </c>
      <c r="F159" s="4">
        <v>46234</v>
      </c>
      <c r="G159" s="5">
        <v>1065873176</v>
      </c>
      <c r="H159" s="2" t="s">
        <v>295</v>
      </c>
      <c r="I159" s="2" t="s">
        <v>319</v>
      </c>
      <c r="J159" s="2" t="s">
        <v>297</v>
      </c>
      <c r="K159" s="3" t="s">
        <v>24</v>
      </c>
      <c r="L159" s="2" t="s">
        <v>25</v>
      </c>
      <c r="M159" s="3" t="s">
        <v>26</v>
      </c>
      <c r="N159" s="3">
        <v>107000</v>
      </c>
      <c r="O159" s="3">
        <v>-22580587212.849998</v>
      </c>
      <c r="P159" s="2" t="s">
        <v>27</v>
      </c>
    </row>
    <row r="160" spans="1:16" outlineLevel="2">
      <c r="A160" s="2" t="s">
        <v>207</v>
      </c>
      <c r="B160" s="2" t="s">
        <v>208</v>
      </c>
      <c r="C160" s="2" t="s">
        <v>71</v>
      </c>
      <c r="D160" s="3">
        <v>-22594855507.419998</v>
      </c>
      <c r="E160" s="2" t="s">
        <v>320</v>
      </c>
      <c r="F160" s="4">
        <v>46234</v>
      </c>
      <c r="G160" s="5">
        <v>1067720548</v>
      </c>
      <c r="H160" s="2" t="s">
        <v>299</v>
      </c>
      <c r="I160" s="2" t="s">
        <v>321</v>
      </c>
      <c r="J160" s="2" t="s">
        <v>301</v>
      </c>
      <c r="K160" s="3" t="s">
        <v>24</v>
      </c>
      <c r="L160" s="2" t="s">
        <v>25</v>
      </c>
      <c r="M160" s="3" t="s">
        <v>26</v>
      </c>
      <c r="N160" s="3">
        <v>400000</v>
      </c>
      <c r="O160" s="3">
        <v>-22580987212.849998</v>
      </c>
      <c r="P160" s="2" t="s">
        <v>27</v>
      </c>
    </row>
    <row r="161" spans="1:16" outlineLevel="2">
      <c r="A161" s="2" t="s">
        <v>207</v>
      </c>
      <c r="B161" s="2" t="s">
        <v>208</v>
      </c>
      <c r="C161" s="2" t="s">
        <v>71</v>
      </c>
      <c r="D161" s="3">
        <v>-22594855507.419998</v>
      </c>
      <c r="E161" s="2" t="s">
        <v>322</v>
      </c>
      <c r="F161" s="4">
        <v>46234</v>
      </c>
      <c r="G161" s="5">
        <v>77093599</v>
      </c>
      <c r="H161" s="2" t="s">
        <v>303</v>
      </c>
      <c r="I161" s="2" t="s">
        <v>323</v>
      </c>
      <c r="J161" s="2" t="s">
        <v>305</v>
      </c>
      <c r="K161" s="3" t="s">
        <v>24</v>
      </c>
      <c r="L161" s="2" t="s">
        <v>25</v>
      </c>
      <c r="M161" s="3" t="s">
        <v>26</v>
      </c>
      <c r="N161" s="3">
        <v>16000</v>
      </c>
      <c r="O161" s="3">
        <v>-22581003212.849998</v>
      </c>
      <c r="P161" s="2" t="s">
        <v>27</v>
      </c>
    </row>
    <row r="162" spans="1:16" outlineLevel="2">
      <c r="A162" s="2" t="s">
        <v>207</v>
      </c>
      <c r="B162" s="2" t="s">
        <v>208</v>
      </c>
      <c r="C162" s="2" t="s">
        <v>71</v>
      </c>
      <c r="D162" s="3">
        <v>-22594855507.419998</v>
      </c>
      <c r="E162" s="2" t="s">
        <v>324</v>
      </c>
      <c r="F162" s="4">
        <v>46234</v>
      </c>
      <c r="G162" s="5">
        <v>1067710598</v>
      </c>
      <c r="H162" s="2" t="s">
        <v>307</v>
      </c>
      <c r="I162" s="2" t="s">
        <v>325</v>
      </c>
      <c r="J162" s="2" t="s">
        <v>309</v>
      </c>
      <c r="K162" s="3" t="s">
        <v>24</v>
      </c>
      <c r="L162" s="2" t="s">
        <v>25</v>
      </c>
      <c r="M162" s="3" t="s">
        <v>26</v>
      </c>
      <c r="N162" s="3">
        <v>1200000</v>
      </c>
      <c r="O162" s="3">
        <v>-22582203212.849998</v>
      </c>
      <c r="P162" s="2" t="s">
        <v>27</v>
      </c>
    </row>
    <row r="163" spans="1:16" outlineLevel="2">
      <c r="A163" s="2" t="s">
        <v>207</v>
      </c>
      <c r="B163" s="2" t="s">
        <v>208</v>
      </c>
      <c r="C163" s="2" t="s">
        <v>71</v>
      </c>
      <c r="D163" s="3">
        <v>-22594855507.419998</v>
      </c>
      <c r="E163" s="2" t="s">
        <v>326</v>
      </c>
      <c r="F163" s="4">
        <v>46234</v>
      </c>
      <c r="G163" s="5">
        <v>1064119619</v>
      </c>
      <c r="H163" s="2" t="s">
        <v>311</v>
      </c>
      <c r="I163" s="2" t="s">
        <v>327</v>
      </c>
      <c r="J163" s="2" t="s">
        <v>313</v>
      </c>
      <c r="K163" s="3" t="s">
        <v>24</v>
      </c>
      <c r="L163" s="2" t="s">
        <v>25</v>
      </c>
      <c r="M163" s="3" t="s">
        <v>26</v>
      </c>
      <c r="N163" s="3">
        <v>360000</v>
      </c>
      <c r="O163" s="3">
        <v>-22582563212.849998</v>
      </c>
      <c r="P163" s="2" t="s">
        <v>27</v>
      </c>
    </row>
    <row r="164" spans="1:16" outlineLevel="2">
      <c r="A164" s="2" t="s">
        <v>207</v>
      </c>
      <c r="B164" s="2" t="s">
        <v>208</v>
      </c>
      <c r="C164" s="2" t="s">
        <v>71</v>
      </c>
      <c r="D164" s="3">
        <v>-22594855507.419998</v>
      </c>
      <c r="E164" s="2" t="s">
        <v>328</v>
      </c>
      <c r="F164" s="4">
        <v>46234</v>
      </c>
      <c r="G164" s="5">
        <v>9540062</v>
      </c>
      <c r="H164" s="2" t="s">
        <v>226</v>
      </c>
      <c r="I164" s="2" t="s">
        <v>232</v>
      </c>
      <c r="J164" s="2" t="s">
        <v>283</v>
      </c>
      <c r="K164" s="3" t="s">
        <v>24</v>
      </c>
      <c r="L164" s="2" t="s">
        <v>25</v>
      </c>
      <c r="M164" s="3" t="s">
        <v>26</v>
      </c>
      <c r="N164" s="3">
        <v>2000000</v>
      </c>
      <c r="O164" s="3">
        <v>-22584563212.849998</v>
      </c>
      <c r="P164" s="2" t="s">
        <v>27</v>
      </c>
    </row>
    <row r="165" spans="1:16" outlineLevel="1">
      <c r="A165" s="14" t="s">
        <v>929</v>
      </c>
      <c r="M165" s="3">
        <f>SUBTOTAL(9,M126:M164)</f>
        <v>75302810.269999996</v>
      </c>
      <c r="N165" s="3">
        <f>SUBTOTAL(9,N126:N164)</f>
        <v>65010515.700000003</v>
      </c>
    </row>
    <row r="166" spans="1:16" outlineLevel="2">
      <c r="A166" s="2" t="s">
        <v>329</v>
      </c>
      <c r="B166" s="2" t="s">
        <v>330</v>
      </c>
      <c r="C166" s="2" t="s">
        <v>331</v>
      </c>
      <c r="D166" s="3">
        <v>-5491399775.5200005</v>
      </c>
      <c r="E166" s="2" t="s">
        <v>18</v>
      </c>
      <c r="F166" s="4" t="s">
        <v>19</v>
      </c>
      <c r="G166" s="5" t="s">
        <v>20</v>
      </c>
      <c r="H166" s="2" t="s">
        <v>21</v>
      </c>
      <c r="I166" s="2" t="s">
        <v>22</v>
      </c>
      <c r="J166" s="2" t="s">
        <v>23</v>
      </c>
      <c r="K166" s="3" t="s">
        <v>24</v>
      </c>
      <c r="L166" s="2" t="s">
        <v>25</v>
      </c>
      <c r="M166" s="3" t="s">
        <v>26</v>
      </c>
      <c r="N166" s="3" t="s">
        <v>26</v>
      </c>
      <c r="O166" s="3">
        <v>-5491399775.5200005</v>
      </c>
      <c r="P166" s="2" t="s">
        <v>27</v>
      </c>
    </row>
    <row r="167" spans="1:16" outlineLevel="1">
      <c r="A167" s="14" t="s">
        <v>930</v>
      </c>
      <c r="M167" s="3">
        <f>SUBTOTAL(9,M166:M166)</f>
        <v>0</v>
      </c>
      <c r="N167" s="3">
        <f>SUBTOTAL(9,N166:N166)</f>
        <v>0</v>
      </c>
    </row>
    <row r="168" spans="1:16" outlineLevel="2">
      <c r="A168" s="2" t="s">
        <v>332</v>
      </c>
      <c r="B168" s="2" t="s">
        <v>333</v>
      </c>
      <c r="C168" s="2" t="s">
        <v>334</v>
      </c>
      <c r="D168" s="3">
        <v>-89190032</v>
      </c>
      <c r="E168" s="2" t="s">
        <v>18</v>
      </c>
      <c r="F168" s="4" t="s">
        <v>19</v>
      </c>
      <c r="G168" s="5" t="s">
        <v>20</v>
      </c>
      <c r="H168" s="2" t="s">
        <v>21</v>
      </c>
      <c r="I168" s="2" t="s">
        <v>22</v>
      </c>
      <c r="J168" s="2" t="s">
        <v>23</v>
      </c>
      <c r="K168" s="3" t="s">
        <v>24</v>
      </c>
      <c r="L168" s="2" t="s">
        <v>25</v>
      </c>
      <c r="M168" s="3" t="s">
        <v>26</v>
      </c>
      <c r="N168" s="3" t="s">
        <v>26</v>
      </c>
      <c r="O168" s="3">
        <v>-89190032</v>
      </c>
      <c r="P168" s="2" t="s">
        <v>27</v>
      </c>
    </row>
    <row r="169" spans="1:16" outlineLevel="1">
      <c r="A169" s="14" t="s">
        <v>931</v>
      </c>
      <c r="M169" s="3">
        <f>SUBTOTAL(9,M168:M168)</f>
        <v>0</v>
      </c>
      <c r="N169" s="3">
        <f>SUBTOTAL(9,N168:N168)</f>
        <v>0</v>
      </c>
    </row>
    <row r="170" spans="1:16" outlineLevel="2">
      <c r="A170" s="2" t="s">
        <v>335</v>
      </c>
      <c r="B170" s="2" t="s">
        <v>336</v>
      </c>
      <c r="C170" s="2" t="s">
        <v>337</v>
      </c>
      <c r="D170" s="3">
        <v>-235473456</v>
      </c>
      <c r="E170" s="2" t="s">
        <v>18</v>
      </c>
      <c r="F170" s="4" t="s">
        <v>19</v>
      </c>
      <c r="G170" s="5" t="s">
        <v>20</v>
      </c>
      <c r="H170" s="2" t="s">
        <v>21</v>
      </c>
      <c r="I170" s="2" t="s">
        <v>22</v>
      </c>
      <c r="J170" s="2" t="s">
        <v>23</v>
      </c>
      <c r="K170" s="3" t="s">
        <v>24</v>
      </c>
      <c r="L170" s="2" t="s">
        <v>25</v>
      </c>
      <c r="M170" s="3" t="s">
        <v>26</v>
      </c>
      <c r="N170" s="3" t="s">
        <v>26</v>
      </c>
      <c r="O170" s="3">
        <v>-235473456</v>
      </c>
      <c r="P170" s="2" t="s">
        <v>27</v>
      </c>
    </row>
    <row r="171" spans="1:16" outlineLevel="1">
      <c r="A171" s="14" t="s">
        <v>932</v>
      </c>
      <c r="M171" s="3">
        <f>SUBTOTAL(9,M170:M170)</f>
        <v>0</v>
      </c>
      <c r="N171" s="3">
        <f>SUBTOTAL(9,N170:N170)</f>
        <v>0</v>
      </c>
    </row>
    <row r="172" spans="1:16" outlineLevel="2">
      <c r="A172" s="2" t="s">
        <v>338</v>
      </c>
      <c r="B172" s="2" t="s">
        <v>339</v>
      </c>
      <c r="C172" s="2" t="s">
        <v>340</v>
      </c>
      <c r="D172" s="3">
        <v>-764554587</v>
      </c>
      <c r="E172" s="2" t="s">
        <v>18</v>
      </c>
      <c r="F172" s="4" t="s">
        <v>19</v>
      </c>
      <c r="G172" s="5" t="s">
        <v>20</v>
      </c>
      <c r="H172" s="2" t="s">
        <v>21</v>
      </c>
      <c r="I172" s="2" t="s">
        <v>22</v>
      </c>
      <c r="J172" s="2" t="s">
        <v>23</v>
      </c>
      <c r="K172" s="3" t="s">
        <v>24</v>
      </c>
      <c r="L172" s="2" t="s">
        <v>25</v>
      </c>
      <c r="M172" s="3" t="s">
        <v>26</v>
      </c>
      <c r="N172" s="3" t="s">
        <v>26</v>
      </c>
      <c r="O172" s="3">
        <v>-764554587</v>
      </c>
      <c r="P172" s="2" t="s">
        <v>27</v>
      </c>
    </row>
    <row r="173" spans="1:16" outlineLevel="1">
      <c r="A173" s="14" t="s">
        <v>933</v>
      </c>
      <c r="M173" s="3">
        <f>SUBTOTAL(9,M172:M172)</f>
        <v>0</v>
      </c>
      <c r="N173" s="3">
        <f>SUBTOTAL(9,N172:N172)</f>
        <v>0</v>
      </c>
    </row>
    <row r="174" spans="1:16" outlineLevel="2">
      <c r="A174" s="2" t="s">
        <v>341</v>
      </c>
      <c r="B174" s="2" t="s">
        <v>342</v>
      </c>
      <c r="C174" s="2" t="s">
        <v>343</v>
      </c>
      <c r="D174" s="3">
        <v>-242945951</v>
      </c>
      <c r="E174" s="2" t="s">
        <v>18</v>
      </c>
      <c r="F174" s="4" t="s">
        <v>19</v>
      </c>
      <c r="G174" s="5" t="s">
        <v>20</v>
      </c>
      <c r="H174" s="2" t="s">
        <v>21</v>
      </c>
      <c r="I174" s="2" t="s">
        <v>22</v>
      </c>
      <c r="J174" s="2" t="s">
        <v>23</v>
      </c>
      <c r="K174" s="3" t="s">
        <v>24</v>
      </c>
      <c r="L174" s="2" t="s">
        <v>25</v>
      </c>
      <c r="M174" s="3" t="s">
        <v>26</v>
      </c>
      <c r="N174" s="3" t="s">
        <v>26</v>
      </c>
      <c r="O174" s="3">
        <v>-242945951</v>
      </c>
      <c r="P174" s="2" t="s">
        <v>27</v>
      </c>
    </row>
    <row r="175" spans="1:16" outlineLevel="1">
      <c r="A175" s="14" t="s">
        <v>934</v>
      </c>
      <c r="M175" s="3">
        <f>SUBTOTAL(9,M174:M174)</f>
        <v>0</v>
      </c>
      <c r="N175" s="3">
        <f>SUBTOTAL(9,N174:N174)</f>
        <v>0</v>
      </c>
    </row>
    <row r="176" spans="1:16" outlineLevel="2">
      <c r="A176" s="2" t="s">
        <v>344</v>
      </c>
      <c r="B176" s="2" t="s">
        <v>345</v>
      </c>
      <c r="C176" s="2" t="s">
        <v>346</v>
      </c>
      <c r="D176" s="3">
        <v>-1112835965.1700001</v>
      </c>
      <c r="E176" s="2" t="s">
        <v>18</v>
      </c>
      <c r="F176" s="4" t="s">
        <v>19</v>
      </c>
      <c r="G176" s="5" t="s">
        <v>20</v>
      </c>
      <c r="H176" s="2" t="s">
        <v>21</v>
      </c>
      <c r="I176" s="2" t="s">
        <v>22</v>
      </c>
      <c r="J176" s="2" t="s">
        <v>23</v>
      </c>
      <c r="K176" s="3" t="s">
        <v>24</v>
      </c>
      <c r="L176" s="2" t="s">
        <v>25</v>
      </c>
      <c r="M176" s="3" t="s">
        <v>26</v>
      </c>
      <c r="N176" s="3" t="s">
        <v>26</v>
      </c>
      <c r="O176" s="3">
        <v>-1112835965.1700001</v>
      </c>
      <c r="P176" s="2" t="s">
        <v>27</v>
      </c>
    </row>
    <row r="177" spans="1:16" outlineLevel="1">
      <c r="A177" s="14" t="s">
        <v>935</v>
      </c>
      <c r="M177" s="3">
        <f>SUBTOTAL(9,M176:M176)</f>
        <v>0</v>
      </c>
      <c r="N177" s="3">
        <f>SUBTOTAL(9,N176:N176)</f>
        <v>0</v>
      </c>
    </row>
    <row r="178" spans="1:16" outlineLevel="2">
      <c r="A178" s="2" t="s">
        <v>347</v>
      </c>
      <c r="B178" s="2" t="s">
        <v>348</v>
      </c>
      <c r="C178" s="2" t="s">
        <v>349</v>
      </c>
      <c r="D178" s="3">
        <v>-255487392.19</v>
      </c>
      <c r="E178" s="2" t="s">
        <v>18</v>
      </c>
      <c r="F178" s="4" t="s">
        <v>19</v>
      </c>
      <c r="G178" s="5" t="s">
        <v>20</v>
      </c>
      <c r="H178" s="2" t="s">
        <v>21</v>
      </c>
      <c r="I178" s="2" t="s">
        <v>22</v>
      </c>
      <c r="J178" s="2" t="s">
        <v>23</v>
      </c>
      <c r="K178" s="3" t="s">
        <v>24</v>
      </c>
      <c r="L178" s="2" t="s">
        <v>25</v>
      </c>
      <c r="M178" s="3" t="s">
        <v>26</v>
      </c>
      <c r="N178" s="3" t="s">
        <v>26</v>
      </c>
      <c r="O178" s="3">
        <v>-255487392.19</v>
      </c>
      <c r="P178" s="2" t="s">
        <v>27</v>
      </c>
    </row>
    <row r="179" spans="1:16" outlineLevel="1">
      <c r="A179" s="14" t="s">
        <v>936</v>
      </c>
      <c r="M179" s="3">
        <f>SUBTOTAL(9,M178:M178)</f>
        <v>0</v>
      </c>
      <c r="N179" s="3">
        <f>SUBTOTAL(9,N178:N178)</f>
        <v>0</v>
      </c>
    </row>
    <row r="180" spans="1:16" outlineLevel="2">
      <c r="A180" s="2" t="s">
        <v>350</v>
      </c>
      <c r="B180" s="2" t="s">
        <v>351</v>
      </c>
      <c r="C180" s="2" t="s">
        <v>188</v>
      </c>
      <c r="D180" s="3">
        <v>-5632504371.3299999</v>
      </c>
      <c r="E180" s="2" t="s">
        <v>352</v>
      </c>
      <c r="F180" s="4">
        <v>46217</v>
      </c>
      <c r="G180" s="5">
        <v>18958102</v>
      </c>
      <c r="H180" s="2" t="s">
        <v>353</v>
      </c>
      <c r="I180" s="2" t="s">
        <v>354</v>
      </c>
      <c r="J180" s="2" t="s">
        <v>355</v>
      </c>
      <c r="K180" s="3" t="s">
        <v>24</v>
      </c>
      <c r="L180" s="2" t="s">
        <v>25</v>
      </c>
      <c r="M180" s="3">
        <v>859800</v>
      </c>
      <c r="N180" s="3" t="s">
        <v>26</v>
      </c>
      <c r="O180" s="3">
        <v>-5631644571.3299999</v>
      </c>
      <c r="P180" s="2" t="s">
        <v>27</v>
      </c>
    </row>
    <row r="181" spans="1:16" outlineLevel="2">
      <c r="A181" s="2" t="s">
        <v>350</v>
      </c>
      <c r="B181" s="2" t="s">
        <v>351</v>
      </c>
      <c r="C181" s="2" t="s">
        <v>188</v>
      </c>
      <c r="D181" s="3">
        <v>-5632504371.3299999</v>
      </c>
      <c r="E181" s="2" t="s">
        <v>356</v>
      </c>
      <c r="F181" s="4">
        <v>46234</v>
      </c>
      <c r="G181" s="5">
        <v>18958102</v>
      </c>
      <c r="H181" s="2" t="s">
        <v>353</v>
      </c>
      <c r="I181" s="2" t="s">
        <v>57</v>
      </c>
      <c r="J181" s="2" t="s">
        <v>357</v>
      </c>
      <c r="K181" s="3" t="s">
        <v>24</v>
      </c>
      <c r="L181" s="2" t="s">
        <v>25</v>
      </c>
      <c r="M181" s="3" t="s">
        <v>26</v>
      </c>
      <c r="N181" s="3">
        <v>3173150</v>
      </c>
      <c r="O181" s="3">
        <v>-5634817721.3299999</v>
      </c>
      <c r="P181" s="2" t="s">
        <v>27</v>
      </c>
    </row>
    <row r="182" spans="1:16" outlineLevel="1">
      <c r="A182" s="14" t="s">
        <v>937</v>
      </c>
      <c r="M182" s="3">
        <f>SUBTOTAL(9,M180:M181)</f>
        <v>859800</v>
      </c>
      <c r="N182" s="3">
        <f>SUBTOTAL(9,N180:N181)</f>
        <v>3173150</v>
      </c>
    </row>
    <row r="183" spans="1:16" outlineLevel="2">
      <c r="A183" s="2" t="s">
        <v>358</v>
      </c>
      <c r="B183" s="2" t="s">
        <v>359</v>
      </c>
      <c r="C183" s="2" t="s">
        <v>360</v>
      </c>
      <c r="D183" s="3">
        <v>-1382990657.0899999</v>
      </c>
      <c r="E183" s="2" t="s">
        <v>18</v>
      </c>
      <c r="F183" s="4" t="s">
        <v>19</v>
      </c>
      <c r="G183" s="5" t="s">
        <v>20</v>
      </c>
      <c r="H183" s="2" t="s">
        <v>21</v>
      </c>
      <c r="I183" s="2" t="s">
        <v>22</v>
      </c>
      <c r="J183" s="2" t="s">
        <v>23</v>
      </c>
      <c r="K183" s="3" t="s">
        <v>24</v>
      </c>
      <c r="L183" s="2" t="s">
        <v>25</v>
      </c>
      <c r="M183" s="3" t="s">
        <v>26</v>
      </c>
      <c r="N183" s="3" t="s">
        <v>26</v>
      </c>
      <c r="O183" s="3">
        <v>-1382990657.0899999</v>
      </c>
      <c r="P183" s="2" t="s">
        <v>27</v>
      </c>
    </row>
    <row r="184" spans="1:16" outlineLevel="1">
      <c r="A184" s="14" t="s">
        <v>938</v>
      </c>
      <c r="M184" s="3">
        <f>SUBTOTAL(9,M183:M183)</f>
        <v>0</v>
      </c>
      <c r="N184" s="3">
        <f>SUBTOTAL(9,N183:N183)</f>
        <v>0</v>
      </c>
    </row>
    <row r="185" spans="1:16" outlineLevel="2">
      <c r="A185" s="2" t="s">
        <v>361</v>
      </c>
      <c r="B185" s="2" t="s">
        <v>362</v>
      </c>
      <c r="C185" s="2" t="s">
        <v>363</v>
      </c>
      <c r="D185" s="3">
        <v>-1172000</v>
      </c>
      <c r="E185" s="2" t="s">
        <v>18</v>
      </c>
      <c r="F185" s="4" t="s">
        <v>19</v>
      </c>
      <c r="G185" s="5" t="s">
        <v>20</v>
      </c>
      <c r="H185" s="2" t="s">
        <v>21</v>
      </c>
      <c r="I185" s="2" t="s">
        <v>22</v>
      </c>
      <c r="J185" s="2" t="s">
        <v>23</v>
      </c>
      <c r="K185" s="3" t="s">
        <v>24</v>
      </c>
      <c r="L185" s="2" t="s">
        <v>25</v>
      </c>
      <c r="M185" s="3" t="s">
        <v>26</v>
      </c>
      <c r="N185" s="3" t="s">
        <v>26</v>
      </c>
      <c r="O185" s="3">
        <v>-1172000</v>
      </c>
      <c r="P185" s="2" t="s">
        <v>27</v>
      </c>
    </row>
    <row r="186" spans="1:16" outlineLevel="1">
      <c r="A186" s="14" t="s">
        <v>939</v>
      </c>
      <c r="M186" s="3">
        <f>SUBTOTAL(9,M185:M185)</f>
        <v>0</v>
      </c>
      <c r="N186" s="3">
        <f>SUBTOTAL(9,N185:N185)</f>
        <v>0</v>
      </c>
    </row>
    <row r="187" spans="1:16" outlineLevel="2">
      <c r="A187" s="2" t="s">
        <v>364</v>
      </c>
      <c r="B187" s="2" t="s">
        <v>365</v>
      </c>
      <c r="C187" s="2" t="s">
        <v>366</v>
      </c>
      <c r="D187" s="3">
        <v>0</v>
      </c>
      <c r="E187" s="2" t="s">
        <v>37</v>
      </c>
      <c r="F187" s="4" t="s">
        <v>19</v>
      </c>
      <c r="G187" s="5">
        <v>0</v>
      </c>
      <c r="H187" s="2" t="s">
        <v>21</v>
      </c>
      <c r="I187" s="2" t="s">
        <v>22</v>
      </c>
      <c r="J187" s="2" t="s">
        <v>23</v>
      </c>
      <c r="K187" s="3" t="s">
        <v>24</v>
      </c>
      <c r="L187" s="2" t="s">
        <v>25</v>
      </c>
      <c r="M187" s="3">
        <v>0</v>
      </c>
      <c r="N187" s="3">
        <v>0</v>
      </c>
      <c r="O187" s="3">
        <v>0</v>
      </c>
      <c r="P187" s="2" t="s">
        <v>27</v>
      </c>
    </row>
    <row r="188" spans="1:16" outlineLevel="1">
      <c r="A188" s="14" t="s">
        <v>940</v>
      </c>
      <c r="M188" s="3">
        <f>SUBTOTAL(9,M187:M187)</f>
        <v>0</v>
      </c>
      <c r="N188" s="3">
        <f>SUBTOTAL(9,N187:N187)</f>
        <v>0</v>
      </c>
    </row>
    <row r="189" spans="1:16" outlineLevel="2">
      <c r="A189" s="2" t="s">
        <v>367</v>
      </c>
      <c r="B189" s="2" t="s">
        <v>368</v>
      </c>
      <c r="C189" s="2" t="s">
        <v>369</v>
      </c>
      <c r="D189" s="3">
        <v>0</v>
      </c>
      <c r="E189" s="2" t="s">
        <v>370</v>
      </c>
      <c r="F189" s="4">
        <v>46219</v>
      </c>
      <c r="G189" s="5">
        <v>901047340</v>
      </c>
      <c r="H189" s="2" t="s">
        <v>248</v>
      </c>
      <c r="I189" s="2" t="s">
        <v>371</v>
      </c>
      <c r="J189" s="2" t="s">
        <v>23</v>
      </c>
      <c r="K189" s="3">
        <v>370000</v>
      </c>
      <c r="L189" s="2" t="s">
        <v>25</v>
      </c>
      <c r="M189" s="3" t="s">
        <v>26</v>
      </c>
      <c r="N189" s="3">
        <v>40700</v>
      </c>
      <c r="O189" s="3">
        <v>-40700</v>
      </c>
      <c r="P189" s="2" t="s">
        <v>27</v>
      </c>
    </row>
    <row r="190" spans="1:16" outlineLevel="2">
      <c r="A190" s="2" t="s">
        <v>367</v>
      </c>
      <c r="B190" s="2" t="s">
        <v>368</v>
      </c>
      <c r="C190" s="2" t="s">
        <v>369</v>
      </c>
      <c r="D190" s="3">
        <v>0</v>
      </c>
      <c r="E190" s="2" t="s">
        <v>372</v>
      </c>
      <c r="F190" s="4">
        <v>46220</v>
      </c>
      <c r="G190" s="5">
        <v>901145581</v>
      </c>
      <c r="H190" s="2" t="s">
        <v>251</v>
      </c>
      <c r="I190" s="2" t="s">
        <v>373</v>
      </c>
      <c r="J190" s="2" t="s">
        <v>23</v>
      </c>
      <c r="K190" s="3">
        <v>301130</v>
      </c>
      <c r="L190" s="2" t="s">
        <v>25</v>
      </c>
      <c r="M190" s="3" t="s">
        <v>26</v>
      </c>
      <c r="N190" s="3">
        <v>33124.300000000003</v>
      </c>
      <c r="O190" s="3">
        <v>-73824.3</v>
      </c>
      <c r="P190" s="2" t="s">
        <v>27</v>
      </c>
    </row>
    <row r="191" spans="1:16" outlineLevel="2">
      <c r="A191" s="2" t="s">
        <v>367</v>
      </c>
      <c r="B191" s="2" t="s">
        <v>368</v>
      </c>
      <c r="C191" s="2" t="s">
        <v>369</v>
      </c>
      <c r="D191" s="3">
        <v>0</v>
      </c>
      <c r="E191" s="2" t="s">
        <v>374</v>
      </c>
      <c r="F191" s="4">
        <v>46224</v>
      </c>
      <c r="G191" s="5">
        <v>860507441</v>
      </c>
      <c r="H191" s="2" t="s">
        <v>261</v>
      </c>
      <c r="I191" s="2" t="s">
        <v>375</v>
      </c>
      <c r="J191" s="2" t="s">
        <v>23</v>
      </c>
      <c r="K191" s="3">
        <v>2012727</v>
      </c>
      <c r="L191" s="2" t="s">
        <v>25</v>
      </c>
      <c r="M191" s="3" t="s">
        <v>26</v>
      </c>
      <c r="N191" s="3">
        <v>221399.97</v>
      </c>
      <c r="O191" s="3">
        <v>-295224.27</v>
      </c>
      <c r="P191" s="2" t="s">
        <v>27</v>
      </c>
    </row>
    <row r="192" spans="1:16" outlineLevel="1">
      <c r="A192" s="14" t="s">
        <v>941</v>
      </c>
      <c r="M192" s="3">
        <f>SUBTOTAL(9,M189:M191)</f>
        <v>0</v>
      </c>
      <c r="N192" s="3">
        <f>SUBTOTAL(9,N189:N191)</f>
        <v>295224.27</v>
      </c>
    </row>
    <row r="193" spans="1:16" outlineLevel="2">
      <c r="A193" s="2" t="s">
        <v>376</v>
      </c>
      <c r="B193" s="2" t="s">
        <v>377</v>
      </c>
      <c r="C193" s="2" t="s">
        <v>92</v>
      </c>
      <c r="D193" s="3">
        <v>0</v>
      </c>
      <c r="E193" s="2" t="s">
        <v>378</v>
      </c>
      <c r="F193" s="4">
        <v>46218</v>
      </c>
      <c r="G193" s="5">
        <v>805009601</v>
      </c>
      <c r="H193" s="2" t="s">
        <v>242</v>
      </c>
      <c r="I193" s="2" t="s">
        <v>379</v>
      </c>
      <c r="J193" s="2" t="s">
        <v>23</v>
      </c>
      <c r="K193" s="3">
        <v>759000</v>
      </c>
      <c r="L193" s="2" t="s">
        <v>25</v>
      </c>
      <c r="M193" s="3" t="s">
        <v>26</v>
      </c>
      <c r="N193" s="3">
        <v>30360</v>
      </c>
      <c r="O193" s="3">
        <v>-30360</v>
      </c>
      <c r="P193" s="2" t="s">
        <v>27</v>
      </c>
    </row>
    <row r="194" spans="1:16" outlineLevel="2">
      <c r="A194" s="2" t="s">
        <v>376</v>
      </c>
      <c r="B194" s="2" t="s">
        <v>377</v>
      </c>
      <c r="C194" s="2" t="s">
        <v>92</v>
      </c>
      <c r="D194" s="3">
        <v>0</v>
      </c>
      <c r="E194" s="2" t="s">
        <v>380</v>
      </c>
      <c r="F194" s="4">
        <v>46234</v>
      </c>
      <c r="G194" s="5">
        <v>1067720548</v>
      </c>
      <c r="H194" s="2" t="s">
        <v>299</v>
      </c>
      <c r="I194" s="2" t="s">
        <v>300</v>
      </c>
      <c r="J194" s="2" t="s">
        <v>23</v>
      </c>
      <c r="K194" s="3">
        <v>400000</v>
      </c>
      <c r="L194" s="2" t="s">
        <v>25</v>
      </c>
      <c r="M194" s="3" t="s">
        <v>26</v>
      </c>
      <c r="N194" s="3">
        <v>16000</v>
      </c>
      <c r="O194" s="3">
        <v>-46360</v>
      </c>
      <c r="P194" s="2" t="s">
        <v>27</v>
      </c>
    </row>
    <row r="195" spans="1:16" outlineLevel="2">
      <c r="A195" s="2" t="s">
        <v>376</v>
      </c>
      <c r="B195" s="2" t="s">
        <v>377</v>
      </c>
      <c r="C195" s="2" t="s">
        <v>92</v>
      </c>
      <c r="D195" s="3">
        <v>0</v>
      </c>
      <c r="E195" s="2" t="s">
        <v>381</v>
      </c>
      <c r="F195" s="4">
        <v>46234</v>
      </c>
      <c r="G195" s="5">
        <v>1067710598</v>
      </c>
      <c r="H195" s="2" t="s">
        <v>307</v>
      </c>
      <c r="I195" s="2" t="s">
        <v>308</v>
      </c>
      <c r="J195" s="2" t="s">
        <v>23</v>
      </c>
      <c r="K195" s="3">
        <v>1200000</v>
      </c>
      <c r="L195" s="2" t="s">
        <v>25</v>
      </c>
      <c r="M195" s="3" t="s">
        <v>26</v>
      </c>
      <c r="N195" s="3">
        <v>48000</v>
      </c>
      <c r="O195" s="3">
        <v>-94360</v>
      </c>
      <c r="P195" s="2" t="s">
        <v>27</v>
      </c>
    </row>
    <row r="196" spans="1:16" outlineLevel="2">
      <c r="A196" s="2" t="s">
        <v>376</v>
      </c>
      <c r="B196" s="2" t="s">
        <v>377</v>
      </c>
      <c r="C196" s="2" t="s">
        <v>92</v>
      </c>
      <c r="D196" s="3">
        <v>0</v>
      </c>
      <c r="E196" s="2" t="s">
        <v>382</v>
      </c>
      <c r="F196" s="4">
        <v>46234</v>
      </c>
      <c r="G196" s="5">
        <v>901225413</v>
      </c>
      <c r="H196" s="2" t="s">
        <v>383</v>
      </c>
      <c r="I196" s="2" t="s">
        <v>384</v>
      </c>
      <c r="J196" s="2" t="s">
        <v>23</v>
      </c>
      <c r="K196" s="3">
        <v>145000</v>
      </c>
      <c r="L196" s="2" t="s">
        <v>25</v>
      </c>
      <c r="M196" s="3" t="s">
        <v>26</v>
      </c>
      <c r="N196" s="3">
        <v>5800</v>
      </c>
      <c r="O196" s="3">
        <v>-100160</v>
      </c>
      <c r="P196" s="2" t="s">
        <v>27</v>
      </c>
    </row>
    <row r="197" spans="1:16" outlineLevel="2">
      <c r="A197" s="2" t="s">
        <v>376</v>
      </c>
      <c r="B197" s="2" t="s">
        <v>377</v>
      </c>
      <c r="C197" s="2" t="s">
        <v>92</v>
      </c>
      <c r="D197" s="3">
        <v>0</v>
      </c>
      <c r="E197" s="2" t="s">
        <v>385</v>
      </c>
      <c r="F197" s="4">
        <v>46234</v>
      </c>
      <c r="G197" s="5">
        <v>1064119619</v>
      </c>
      <c r="H197" s="2" t="s">
        <v>311</v>
      </c>
      <c r="I197" s="2" t="s">
        <v>312</v>
      </c>
      <c r="J197" s="2" t="s">
        <v>23</v>
      </c>
      <c r="K197" s="3">
        <v>360000</v>
      </c>
      <c r="L197" s="2" t="s">
        <v>25</v>
      </c>
      <c r="M197" s="3" t="s">
        <v>26</v>
      </c>
      <c r="N197" s="3">
        <v>14400</v>
      </c>
      <c r="O197" s="3">
        <v>-114560</v>
      </c>
      <c r="P197" s="2" t="s">
        <v>27</v>
      </c>
    </row>
    <row r="198" spans="1:16" outlineLevel="1">
      <c r="A198" s="14" t="s">
        <v>942</v>
      </c>
      <c r="M198" s="3">
        <f>SUBTOTAL(9,M193:M197)</f>
        <v>0</v>
      </c>
      <c r="N198" s="3">
        <f>SUBTOTAL(9,N193:N197)</f>
        <v>114560</v>
      </c>
    </row>
    <row r="199" spans="1:16" outlineLevel="2">
      <c r="A199" s="2" t="s">
        <v>386</v>
      </c>
      <c r="B199" s="2" t="s">
        <v>387</v>
      </c>
      <c r="C199" s="2" t="s">
        <v>388</v>
      </c>
      <c r="D199" s="3">
        <v>0</v>
      </c>
      <c r="E199" s="2" t="s">
        <v>389</v>
      </c>
      <c r="F199" s="4">
        <v>46234</v>
      </c>
      <c r="G199" s="5">
        <v>1065873176</v>
      </c>
      <c r="H199" s="2" t="s">
        <v>295</v>
      </c>
      <c r="I199" s="2" t="s">
        <v>296</v>
      </c>
      <c r="J199" s="2" t="s">
        <v>23</v>
      </c>
      <c r="K199" s="3">
        <v>107000</v>
      </c>
      <c r="L199" s="2" t="s">
        <v>25</v>
      </c>
      <c r="M199" s="3" t="s">
        <v>26</v>
      </c>
      <c r="N199" s="3">
        <v>6420</v>
      </c>
      <c r="O199" s="3">
        <v>-6420</v>
      </c>
      <c r="P199" s="2" t="s">
        <v>27</v>
      </c>
    </row>
    <row r="200" spans="1:16" outlineLevel="1">
      <c r="A200" s="14" t="s">
        <v>943</v>
      </c>
      <c r="M200" s="3">
        <f>SUBTOTAL(9,M199:M199)</f>
        <v>0</v>
      </c>
      <c r="N200" s="3">
        <f>SUBTOTAL(9,N199:N199)</f>
        <v>6420</v>
      </c>
    </row>
    <row r="201" spans="1:16" outlineLevel="2">
      <c r="A201" s="2" t="s">
        <v>390</v>
      </c>
      <c r="B201" s="2" t="s">
        <v>391</v>
      </c>
      <c r="C201" s="2" t="s">
        <v>392</v>
      </c>
      <c r="D201" s="3">
        <v>0</v>
      </c>
      <c r="E201" s="2" t="s">
        <v>37</v>
      </c>
      <c r="F201" s="4" t="s">
        <v>19</v>
      </c>
      <c r="G201" s="5">
        <v>0</v>
      </c>
      <c r="H201" s="2" t="s">
        <v>21</v>
      </c>
      <c r="I201" s="2" t="s">
        <v>22</v>
      </c>
      <c r="J201" s="2" t="s">
        <v>23</v>
      </c>
      <c r="K201" s="3" t="s">
        <v>24</v>
      </c>
      <c r="L201" s="2" t="s">
        <v>25</v>
      </c>
      <c r="M201" s="3">
        <v>0</v>
      </c>
      <c r="N201" s="3">
        <v>0</v>
      </c>
      <c r="O201" s="3">
        <v>0</v>
      </c>
      <c r="P201" s="2" t="s">
        <v>27</v>
      </c>
    </row>
    <row r="202" spans="1:16" outlineLevel="1">
      <c r="A202" s="14" t="s">
        <v>944</v>
      </c>
      <c r="M202" s="3">
        <f>SUBTOTAL(9,M201:M201)</f>
        <v>0</v>
      </c>
      <c r="N202" s="3">
        <f>SUBTOTAL(9,N201:N201)</f>
        <v>0</v>
      </c>
    </row>
    <row r="203" spans="1:16" outlineLevel="2">
      <c r="A203" s="2" t="s">
        <v>393</v>
      </c>
      <c r="B203" s="2" t="s">
        <v>394</v>
      </c>
      <c r="C203" s="2" t="s">
        <v>395</v>
      </c>
      <c r="D203" s="3">
        <v>0</v>
      </c>
      <c r="E203" s="2" t="s">
        <v>37</v>
      </c>
      <c r="F203" s="4" t="s">
        <v>19</v>
      </c>
      <c r="G203" s="5">
        <v>0</v>
      </c>
      <c r="H203" s="2" t="s">
        <v>21</v>
      </c>
      <c r="I203" s="2" t="s">
        <v>22</v>
      </c>
      <c r="J203" s="2" t="s">
        <v>23</v>
      </c>
      <c r="K203" s="3" t="s">
        <v>24</v>
      </c>
      <c r="L203" s="2" t="s">
        <v>25</v>
      </c>
      <c r="M203" s="3">
        <v>0</v>
      </c>
      <c r="N203" s="3">
        <v>0</v>
      </c>
      <c r="O203" s="3">
        <v>0</v>
      </c>
      <c r="P203" s="2" t="s">
        <v>27</v>
      </c>
    </row>
    <row r="204" spans="1:16" outlineLevel="1">
      <c r="A204" s="14" t="s">
        <v>945</v>
      </c>
      <c r="M204" s="3">
        <f>SUBTOTAL(9,M203:M203)</f>
        <v>0</v>
      </c>
      <c r="N204" s="3">
        <f>SUBTOTAL(9,N203:N203)</f>
        <v>0</v>
      </c>
    </row>
    <row r="205" spans="1:16" outlineLevel="2">
      <c r="A205" s="2" t="s">
        <v>396</v>
      </c>
      <c r="B205" s="2" t="s">
        <v>397</v>
      </c>
      <c r="C205" s="2" t="s">
        <v>398</v>
      </c>
      <c r="D205" s="3">
        <v>0</v>
      </c>
      <c r="E205" s="2" t="s">
        <v>37</v>
      </c>
      <c r="F205" s="4" t="s">
        <v>19</v>
      </c>
      <c r="G205" s="5">
        <v>0</v>
      </c>
      <c r="H205" s="2" t="s">
        <v>21</v>
      </c>
      <c r="I205" s="2" t="s">
        <v>22</v>
      </c>
      <c r="J205" s="2" t="s">
        <v>23</v>
      </c>
      <c r="K205" s="3" t="s">
        <v>24</v>
      </c>
      <c r="L205" s="2" t="s">
        <v>25</v>
      </c>
      <c r="M205" s="3">
        <v>0</v>
      </c>
      <c r="N205" s="3">
        <v>0</v>
      </c>
      <c r="O205" s="3">
        <v>0</v>
      </c>
      <c r="P205" s="2" t="s">
        <v>27</v>
      </c>
    </row>
    <row r="206" spans="1:16" outlineLevel="1">
      <c r="A206" s="14" t="s">
        <v>946</v>
      </c>
      <c r="M206" s="3">
        <f>SUBTOTAL(9,M205:M205)</f>
        <v>0</v>
      </c>
      <c r="N206" s="3">
        <f>SUBTOTAL(9,N205:N205)</f>
        <v>0</v>
      </c>
    </row>
    <row r="207" spans="1:16" outlineLevel="2">
      <c r="A207" s="2" t="s">
        <v>399</v>
      </c>
      <c r="B207" s="2" t="s">
        <v>400</v>
      </c>
      <c r="C207" s="2" t="s">
        <v>401</v>
      </c>
      <c r="D207" s="3">
        <v>0</v>
      </c>
      <c r="E207" s="2" t="s">
        <v>37</v>
      </c>
      <c r="F207" s="4" t="s">
        <v>19</v>
      </c>
      <c r="G207" s="5">
        <v>0</v>
      </c>
      <c r="H207" s="2" t="s">
        <v>21</v>
      </c>
      <c r="I207" s="2" t="s">
        <v>22</v>
      </c>
      <c r="J207" s="2" t="s">
        <v>23</v>
      </c>
      <c r="K207" s="3" t="s">
        <v>24</v>
      </c>
      <c r="L207" s="2" t="s">
        <v>25</v>
      </c>
      <c r="M207" s="3">
        <v>0</v>
      </c>
      <c r="N207" s="3">
        <v>0</v>
      </c>
      <c r="O207" s="3">
        <v>0</v>
      </c>
      <c r="P207" s="2" t="s">
        <v>27</v>
      </c>
    </row>
    <row r="208" spans="1:16" outlineLevel="1">
      <c r="A208" s="14" t="s">
        <v>947</v>
      </c>
      <c r="M208" s="3">
        <f>SUBTOTAL(9,M207:M207)</f>
        <v>0</v>
      </c>
      <c r="N208" s="3">
        <f>SUBTOTAL(9,N207:N207)</f>
        <v>0</v>
      </c>
    </row>
    <row r="209" spans="1:16" outlineLevel="2">
      <c r="A209" s="2" t="s">
        <v>402</v>
      </c>
      <c r="B209" s="2" t="s">
        <v>403</v>
      </c>
      <c r="C209" s="2" t="s">
        <v>404</v>
      </c>
      <c r="D209" s="3">
        <v>0</v>
      </c>
      <c r="E209" s="2" t="s">
        <v>405</v>
      </c>
      <c r="F209" s="4">
        <v>46204</v>
      </c>
      <c r="G209" s="5">
        <v>901919178</v>
      </c>
      <c r="H209" s="2" t="s">
        <v>210</v>
      </c>
      <c r="I209" s="2" t="s">
        <v>406</v>
      </c>
      <c r="J209" s="2" t="s">
        <v>23</v>
      </c>
      <c r="K209" s="3">
        <v>119623</v>
      </c>
      <c r="L209" s="2" t="s">
        <v>25</v>
      </c>
      <c r="M209" s="3" t="s">
        <v>26</v>
      </c>
      <c r="N209" s="3">
        <v>119.62</v>
      </c>
      <c r="O209" s="3">
        <v>-119.62</v>
      </c>
      <c r="P209" s="2" t="s">
        <v>27</v>
      </c>
    </row>
    <row r="210" spans="1:16" outlineLevel="2">
      <c r="A210" s="2" t="s">
        <v>402</v>
      </c>
      <c r="B210" s="2" t="s">
        <v>403</v>
      </c>
      <c r="C210" s="2" t="s">
        <v>404</v>
      </c>
      <c r="D210" s="3">
        <v>0</v>
      </c>
      <c r="E210" s="2" t="s">
        <v>407</v>
      </c>
      <c r="F210" s="4">
        <v>46206</v>
      </c>
      <c r="G210" s="5">
        <v>900375701</v>
      </c>
      <c r="H210" s="2" t="s">
        <v>234</v>
      </c>
      <c r="I210" s="2" t="s">
        <v>408</v>
      </c>
      <c r="J210" s="2" t="s">
        <v>23</v>
      </c>
      <c r="K210" s="3">
        <v>239110</v>
      </c>
      <c r="L210" s="2" t="s">
        <v>25</v>
      </c>
      <c r="M210" s="3" t="s">
        <v>26</v>
      </c>
      <c r="N210" s="3">
        <v>239.11</v>
      </c>
      <c r="O210" s="3">
        <v>-358.73</v>
      </c>
      <c r="P210" s="2" t="s">
        <v>27</v>
      </c>
    </row>
    <row r="211" spans="1:16" outlineLevel="2">
      <c r="A211" s="2" t="s">
        <v>402</v>
      </c>
      <c r="B211" s="2" t="s">
        <v>403</v>
      </c>
      <c r="C211" s="2" t="s">
        <v>404</v>
      </c>
      <c r="D211" s="3">
        <v>0</v>
      </c>
      <c r="E211" s="2" t="s">
        <v>409</v>
      </c>
      <c r="F211" s="4">
        <v>46224</v>
      </c>
      <c r="G211" s="5">
        <v>824006407</v>
      </c>
      <c r="H211" s="2" t="s">
        <v>265</v>
      </c>
      <c r="I211" s="2" t="s">
        <v>410</v>
      </c>
      <c r="J211" s="2" t="s">
        <v>23</v>
      </c>
      <c r="K211" s="3">
        <v>290000</v>
      </c>
      <c r="L211" s="2" t="s">
        <v>25</v>
      </c>
      <c r="M211" s="3" t="s">
        <v>26</v>
      </c>
      <c r="N211" s="3">
        <v>290</v>
      </c>
      <c r="O211" s="3">
        <v>-648.73</v>
      </c>
      <c r="P211" s="2" t="s">
        <v>27</v>
      </c>
    </row>
    <row r="212" spans="1:16" outlineLevel="2">
      <c r="A212" s="2" t="s">
        <v>402</v>
      </c>
      <c r="B212" s="2" t="s">
        <v>403</v>
      </c>
      <c r="C212" s="2" t="s">
        <v>404</v>
      </c>
      <c r="D212" s="3">
        <v>0</v>
      </c>
      <c r="E212" s="2" t="s">
        <v>411</v>
      </c>
      <c r="F212" s="4">
        <v>46234</v>
      </c>
      <c r="G212" s="5">
        <v>901919178</v>
      </c>
      <c r="H212" s="2" t="s">
        <v>210</v>
      </c>
      <c r="I212" s="2" t="s">
        <v>412</v>
      </c>
      <c r="J212" s="2" t="s">
        <v>23</v>
      </c>
      <c r="K212" s="3">
        <v>50000</v>
      </c>
      <c r="L212" s="2" t="s">
        <v>25</v>
      </c>
      <c r="M212" s="3" t="s">
        <v>26</v>
      </c>
      <c r="N212" s="3">
        <v>50</v>
      </c>
      <c r="O212" s="3">
        <v>-698.73</v>
      </c>
      <c r="P212" s="2" t="s">
        <v>27</v>
      </c>
    </row>
    <row r="213" spans="1:16" outlineLevel="1">
      <c r="A213" s="14" t="s">
        <v>948</v>
      </c>
      <c r="M213" s="3">
        <f>SUBTOTAL(9,M209:M212)</f>
        <v>0</v>
      </c>
      <c r="N213" s="3">
        <f>SUBTOTAL(9,N209:N212)</f>
        <v>698.73</v>
      </c>
    </row>
    <row r="214" spans="1:16" outlineLevel="2">
      <c r="A214" s="2" t="s">
        <v>413</v>
      </c>
      <c r="B214" s="2" t="s">
        <v>414</v>
      </c>
      <c r="C214" s="2" t="s">
        <v>415</v>
      </c>
      <c r="D214" s="3">
        <v>0</v>
      </c>
      <c r="E214" s="2" t="s">
        <v>37</v>
      </c>
      <c r="F214" s="4" t="s">
        <v>19</v>
      </c>
      <c r="G214" s="5">
        <v>0</v>
      </c>
      <c r="H214" s="2" t="s">
        <v>21</v>
      </c>
      <c r="I214" s="2" t="s">
        <v>22</v>
      </c>
      <c r="J214" s="2" t="s">
        <v>23</v>
      </c>
      <c r="K214" s="3" t="s">
        <v>24</v>
      </c>
      <c r="L214" s="2" t="s">
        <v>25</v>
      </c>
      <c r="M214" s="3">
        <v>0</v>
      </c>
      <c r="N214" s="3">
        <v>0</v>
      </c>
      <c r="O214" s="3">
        <v>0</v>
      </c>
      <c r="P214" s="2" t="s">
        <v>27</v>
      </c>
    </row>
    <row r="215" spans="1:16" outlineLevel="1">
      <c r="A215" s="14" t="s">
        <v>949</v>
      </c>
      <c r="M215" s="3">
        <f>SUBTOTAL(9,M214:M214)</f>
        <v>0</v>
      </c>
      <c r="N215" s="3">
        <f>SUBTOTAL(9,N214:N214)</f>
        <v>0</v>
      </c>
    </row>
    <row r="216" spans="1:16" outlineLevel="2">
      <c r="A216" s="2" t="s">
        <v>416</v>
      </c>
      <c r="B216" s="2" t="s">
        <v>417</v>
      </c>
      <c r="C216" s="2" t="s">
        <v>119</v>
      </c>
      <c r="D216" s="3">
        <v>0</v>
      </c>
      <c r="E216" s="2" t="s">
        <v>418</v>
      </c>
      <c r="F216" s="4">
        <v>46204</v>
      </c>
      <c r="G216" s="5">
        <v>860068182</v>
      </c>
      <c r="H216" s="2" t="s">
        <v>121</v>
      </c>
      <c r="I216" s="2" t="s">
        <v>119</v>
      </c>
      <c r="J216" s="2" t="s">
        <v>23</v>
      </c>
      <c r="K216" s="3">
        <v>54949.24</v>
      </c>
      <c r="L216" s="2" t="s">
        <v>25</v>
      </c>
      <c r="M216" s="3" t="s">
        <v>26</v>
      </c>
      <c r="N216" s="3">
        <v>2472.7199999999998</v>
      </c>
      <c r="O216" s="3">
        <v>-2472.7199999999998</v>
      </c>
      <c r="P216" s="2" t="s">
        <v>27</v>
      </c>
    </row>
    <row r="217" spans="1:16" outlineLevel="1">
      <c r="A217" s="14" t="s">
        <v>950</v>
      </c>
      <c r="M217" s="3">
        <f>SUBTOTAL(9,M216:M216)</f>
        <v>0</v>
      </c>
      <c r="N217" s="3">
        <f>SUBTOTAL(9,N216:N216)</f>
        <v>2472.7199999999998</v>
      </c>
    </row>
    <row r="218" spans="1:16" outlineLevel="2">
      <c r="A218" s="2" t="s">
        <v>419</v>
      </c>
      <c r="B218" s="2" t="s">
        <v>420</v>
      </c>
      <c r="C218" s="2" t="s">
        <v>421</v>
      </c>
      <c r="D218" s="3">
        <v>0</v>
      </c>
      <c r="E218" s="2" t="s">
        <v>37</v>
      </c>
      <c r="F218" s="4" t="s">
        <v>19</v>
      </c>
      <c r="G218" s="5">
        <v>0</v>
      </c>
      <c r="H218" s="2" t="s">
        <v>21</v>
      </c>
      <c r="I218" s="2" t="s">
        <v>22</v>
      </c>
      <c r="J218" s="2" t="s">
        <v>23</v>
      </c>
      <c r="K218" s="3" t="s">
        <v>24</v>
      </c>
      <c r="L218" s="2" t="s">
        <v>25</v>
      </c>
      <c r="M218" s="3">
        <v>0</v>
      </c>
      <c r="N218" s="3">
        <v>0</v>
      </c>
      <c r="O218" s="3">
        <v>0</v>
      </c>
      <c r="P218" s="2" t="s">
        <v>27</v>
      </c>
    </row>
    <row r="219" spans="1:16" outlineLevel="1">
      <c r="A219" s="14" t="s">
        <v>951</v>
      </c>
      <c r="M219" s="3">
        <f>SUBTOTAL(9,M218:M218)</f>
        <v>0</v>
      </c>
      <c r="N219" s="3">
        <f>SUBTOTAL(9,N218:N218)</f>
        <v>0</v>
      </c>
    </row>
    <row r="220" spans="1:16" outlineLevel="2">
      <c r="A220" s="2" t="s">
        <v>422</v>
      </c>
      <c r="B220" s="2" t="s">
        <v>423</v>
      </c>
      <c r="C220" s="2" t="s">
        <v>424</v>
      </c>
      <c r="D220" s="3">
        <v>0</v>
      </c>
      <c r="E220" s="2" t="s">
        <v>37</v>
      </c>
      <c r="F220" s="4" t="s">
        <v>19</v>
      </c>
      <c r="G220" s="5">
        <v>0</v>
      </c>
      <c r="H220" s="2" t="s">
        <v>21</v>
      </c>
      <c r="I220" s="2" t="s">
        <v>22</v>
      </c>
      <c r="J220" s="2" t="s">
        <v>23</v>
      </c>
      <c r="K220" s="3" t="s">
        <v>24</v>
      </c>
      <c r="L220" s="2" t="s">
        <v>25</v>
      </c>
      <c r="M220" s="3">
        <v>0</v>
      </c>
      <c r="N220" s="3">
        <v>0</v>
      </c>
      <c r="O220" s="3">
        <v>0</v>
      </c>
      <c r="P220" s="2" t="s">
        <v>27</v>
      </c>
    </row>
    <row r="221" spans="1:16" outlineLevel="1">
      <c r="A221" s="14" t="s">
        <v>952</v>
      </c>
      <c r="M221" s="3">
        <f>SUBTOTAL(9,M220:M220)</f>
        <v>0</v>
      </c>
      <c r="N221" s="3">
        <f>SUBTOTAL(9,N220:N220)</f>
        <v>0</v>
      </c>
    </row>
    <row r="222" spans="1:16" outlineLevel="2">
      <c r="A222" s="2" t="s">
        <v>425</v>
      </c>
      <c r="B222" s="2" t="s">
        <v>426</v>
      </c>
      <c r="C222" s="2" t="s">
        <v>427</v>
      </c>
      <c r="D222" s="3">
        <v>0</v>
      </c>
      <c r="E222" s="2" t="s">
        <v>428</v>
      </c>
      <c r="F222" s="4">
        <v>46219</v>
      </c>
      <c r="G222" s="5">
        <v>901047340</v>
      </c>
      <c r="H222" s="2" t="s">
        <v>248</v>
      </c>
      <c r="I222" s="2" t="s">
        <v>371</v>
      </c>
      <c r="J222" s="2" t="s">
        <v>23</v>
      </c>
      <c r="K222" s="3">
        <v>370000</v>
      </c>
      <c r="L222" s="2" t="s">
        <v>25</v>
      </c>
      <c r="M222" s="3" t="s">
        <v>26</v>
      </c>
      <c r="N222" s="3">
        <v>4625</v>
      </c>
      <c r="O222" s="3">
        <v>-4625</v>
      </c>
      <c r="P222" s="2" t="s">
        <v>27</v>
      </c>
    </row>
    <row r="223" spans="1:16" outlineLevel="2">
      <c r="A223" s="2" t="s">
        <v>425</v>
      </c>
      <c r="B223" s="2" t="s">
        <v>426</v>
      </c>
      <c r="C223" s="2" t="s">
        <v>427</v>
      </c>
      <c r="D223" s="3">
        <v>0</v>
      </c>
      <c r="E223" s="2" t="s">
        <v>429</v>
      </c>
      <c r="F223" s="4">
        <v>46220</v>
      </c>
      <c r="G223" s="5">
        <v>901145581</v>
      </c>
      <c r="H223" s="2" t="s">
        <v>251</v>
      </c>
      <c r="I223" s="2" t="s">
        <v>373</v>
      </c>
      <c r="J223" s="2" t="s">
        <v>23</v>
      </c>
      <c r="K223" s="3">
        <v>301130</v>
      </c>
      <c r="L223" s="2" t="s">
        <v>25</v>
      </c>
      <c r="M223" s="3" t="s">
        <v>26</v>
      </c>
      <c r="N223" s="3">
        <v>3764.13</v>
      </c>
      <c r="O223" s="3">
        <v>-8389.1299999999992</v>
      </c>
      <c r="P223" s="2" t="s">
        <v>27</v>
      </c>
    </row>
    <row r="224" spans="1:16" outlineLevel="1">
      <c r="A224" s="14" t="s">
        <v>953</v>
      </c>
      <c r="M224" s="3">
        <f>SUBTOTAL(9,M222:M223)</f>
        <v>0</v>
      </c>
      <c r="N224" s="3">
        <f>SUBTOTAL(9,N222:N223)</f>
        <v>8389.130000000001</v>
      </c>
    </row>
    <row r="225" spans="1:16" outlineLevel="2">
      <c r="A225" s="2" t="s">
        <v>430</v>
      </c>
      <c r="B225" s="2" t="s">
        <v>431</v>
      </c>
      <c r="C225" s="2" t="s">
        <v>432</v>
      </c>
      <c r="D225" s="3">
        <v>0</v>
      </c>
      <c r="E225" s="2" t="s">
        <v>433</v>
      </c>
      <c r="F225" s="4">
        <v>46206</v>
      </c>
      <c r="G225" s="5">
        <v>9540062</v>
      </c>
      <c r="H225" s="2" t="s">
        <v>226</v>
      </c>
      <c r="I225" s="2" t="s">
        <v>227</v>
      </c>
      <c r="J225" s="2" t="s">
        <v>23</v>
      </c>
      <c r="K225" s="3">
        <v>2000000</v>
      </c>
      <c r="L225" s="2" t="s">
        <v>25</v>
      </c>
      <c r="M225" s="3" t="s">
        <v>26</v>
      </c>
      <c r="N225" s="3">
        <v>20000</v>
      </c>
      <c r="O225" s="3">
        <v>-20000</v>
      </c>
      <c r="P225" s="2" t="s">
        <v>27</v>
      </c>
    </row>
    <row r="226" spans="1:16" outlineLevel="2">
      <c r="A226" s="2" t="s">
        <v>430</v>
      </c>
      <c r="B226" s="2" t="s">
        <v>431</v>
      </c>
      <c r="C226" s="2" t="s">
        <v>432</v>
      </c>
      <c r="D226" s="3">
        <v>0</v>
      </c>
      <c r="E226" s="2" t="s">
        <v>434</v>
      </c>
      <c r="F226" s="4">
        <v>46218</v>
      </c>
      <c r="G226" s="5">
        <v>805009601</v>
      </c>
      <c r="H226" s="2" t="s">
        <v>242</v>
      </c>
      <c r="I226" s="2" t="s">
        <v>379</v>
      </c>
      <c r="J226" s="2" t="s">
        <v>23</v>
      </c>
      <c r="K226" s="3">
        <v>759000</v>
      </c>
      <c r="L226" s="2" t="s">
        <v>25</v>
      </c>
      <c r="M226" s="3" t="s">
        <v>26</v>
      </c>
      <c r="N226" s="3">
        <v>7590</v>
      </c>
      <c r="O226" s="3">
        <v>-27590</v>
      </c>
      <c r="P226" s="2" t="s">
        <v>27</v>
      </c>
    </row>
    <row r="227" spans="1:16" outlineLevel="2">
      <c r="A227" s="2" t="s">
        <v>430</v>
      </c>
      <c r="B227" s="2" t="s">
        <v>431</v>
      </c>
      <c r="C227" s="2" t="s">
        <v>432</v>
      </c>
      <c r="D227" s="3">
        <v>0</v>
      </c>
      <c r="E227" s="2" t="s">
        <v>435</v>
      </c>
      <c r="F227" s="4">
        <v>46234</v>
      </c>
      <c r="G227" s="5">
        <v>9540062</v>
      </c>
      <c r="H227" s="2" t="s">
        <v>226</v>
      </c>
      <c r="I227" s="2" t="s">
        <v>282</v>
      </c>
      <c r="J227" s="2" t="s">
        <v>23</v>
      </c>
      <c r="K227" s="3">
        <v>2000000</v>
      </c>
      <c r="L227" s="2" t="s">
        <v>25</v>
      </c>
      <c r="M227" s="3" t="s">
        <v>26</v>
      </c>
      <c r="N227" s="3">
        <v>20000</v>
      </c>
      <c r="O227" s="3">
        <v>-47590</v>
      </c>
      <c r="P227" s="2" t="s">
        <v>27</v>
      </c>
    </row>
    <row r="228" spans="1:16" outlineLevel="2">
      <c r="A228" s="2" t="s">
        <v>430</v>
      </c>
      <c r="B228" s="2" t="s">
        <v>431</v>
      </c>
      <c r="C228" s="2" t="s">
        <v>432</v>
      </c>
      <c r="D228" s="3">
        <v>0</v>
      </c>
      <c r="E228" s="2" t="s">
        <v>436</v>
      </c>
      <c r="F228" s="4">
        <v>46234</v>
      </c>
      <c r="G228" s="5">
        <v>1065873176</v>
      </c>
      <c r="H228" s="2" t="s">
        <v>295</v>
      </c>
      <c r="I228" s="2" t="s">
        <v>296</v>
      </c>
      <c r="J228" s="2" t="s">
        <v>23</v>
      </c>
      <c r="K228" s="3">
        <v>107000</v>
      </c>
      <c r="L228" s="2" t="s">
        <v>25</v>
      </c>
      <c r="M228" s="3" t="s">
        <v>26</v>
      </c>
      <c r="N228" s="3">
        <v>1070</v>
      </c>
      <c r="O228" s="3">
        <v>-48660</v>
      </c>
      <c r="P228" s="2" t="s">
        <v>27</v>
      </c>
    </row>
    <row r="229" spans="1:16" outlineLevel="2">
      <c r="A229" s="2" t="s">
        <v>430</v>
      </c>
      <c r="B229" s="2" t="s">
        <v>431</v>
      </c>
      <c r="C229" s="2" t="s">
        <v>432</v>
      </c>
      <c r="D229" s="3">
        <v>0</v>
      </c>
      <c r="E229" s="2" t="s">
        <v>437</v>
      </c>
      <c r="F229" s="4">
        <v>46234</v>
      </c>
      <c r="G229" s="5">
        <v>1067720548</v>
      </c>
      <c r="H229" s="2" t="s">
        <v>299</v>
      </c>
      <c r="I229" s="2" t="s">
        <v>300</v>
      </c>
      <c r="J229" s="2" t="s">
        <v>23</v>
      </c>
      <c r="K229" s="3">
        <v>400000</v>
      </c>
      <c r="L229" s="2" t="s">
        <v>25</v>
      </c>
      <c r="M229" s="3" t="s">
        <v>26</v>
      </c>
      <c r="N229" s="3">
        <v>4000</v>
      </c>
      <c r="O229" s="3">
        <v>-52660</v>
      </c>
      <c r="P229" s="2" t="s">
        <v>27</v>
      </c>
    </row>
    <row r="230" spans="1:16" outlineLevel="2">
      <c r="A230" s="2" t="s">
        <v>430</v>
      </c>
      <c r="B230" s="2" t="s">
        <v>431</v>
      </c>
      <c r="C230" s="2" t="s">
        <v>432</v>
      </c>
      <c r="D230" s="3">
        <v>0</v>
      </c>
      <c r="E230" s="2" t="s">
        <v>438</v>
      </c>
      <c r="F230" s="4">
        <v>46234</v>
      </c>
      <c r="G230" s="5">
        <v>1067710598</v>
      </c>
      <c r="H230" s="2" t="s">
        <v>307</v>
      </c>
      <c r="I230" s="2" t="s">
        <v>308</v>
      </c>
      <c r="J230" s="2" t="s">
        <v>23</v>
      </c>
      <c r="K230" s="3">
        <v>1200000</v>
      </c>
      <c r="L230" s="2" t="s">
        <v>25</v>
      </c>
      <c r="M230" s="3" t="s">
        <v>26</v>
      </c>
      <c r="N230" s="3">
        <v>12000</v>
      </c>
      <c r="O230" s="3">
        <v>-64660</v>
      </c>
      <c r="P230" s="2" t="s">
        <v>27</v>
      </c>
    </row>
    <row r="231" spans="1:16" outlineLevel="2">
      <c r="A231" s="2" t="s">
        <v>430</v>
      </c>
      <c r="B231" s="2" t="s">
        <v>431</v>
      </c>
      <c r="C231" s="2" t="s">
        <v>432</v>
      </c>
      <c r="D231" s="3">
        <v>0</v>
      </c>
      <c r="E231" s="2" t="s">
        <v>439</v>
      </c>
      <c r="F231" s="4">
        <v>46234</v>
      </c>
      <c r="G231" s="5">
        <v>901225413</v>
      </c>
      <c r="H231" s="2" t="s">
        <v>383</v>
      </c>
      <c r="I231" s="2" t="s">
        <v>384</v>
      </c>
      <c r="J231" s="2" t="s">
        <v>23</v>
      </c>
      <c r="K231" s="3">
        <v>145000</v>
      </c>
      <c r="L231" s="2" t="s">
        <v>25</v>
      </c>
      <c r="M231" s="3" t="s">
        <v>26</v>
      </c>
      <c r="N231" s="3">
        <v>1450</v>
      </c>
      <c r="O231" s="3">
        <v>-66110</v>
      </c>
      <c r="P231" s="2" t="s">
        <v>27</v>
      </c>
    </row>
    <row r="232" spans="1:16" outlineLevel="2">
      <c r="A232" s="2" t="s">
        <v>430</v>
      </c>
      <c r="B232" s="2" t="s">
        <v>431</v>
      </c>
      <c r="C232" s="2" t="s">
        <v>432</v>
      </c>
      <c r="D232" s="3">
        <v>0</v>
      </c>
      <c r="E232" s="2" t="s">
        <v>440</v>
      </c>
      <c r="F232" s="4">
        <v>46234</v>
      </c>
      <c r="G232" s="5">
        <v>1064119619</v>
      </c>
      <c r="H232" s="2" t="s">
        <v>311</v>
      </c>
      <c r="I232" s="2" t="s">
        <v>312</v>
      </c>
      <c r="J232" s="2" t="s">
        <v>23</v>
      </c>
      <c r="K232" s="3">
        <v>360000</v>
      </c>
      <c r="L232" s="2" t="s">
        <v>25</v>
      </c>
      <c r="M232" s="3" t="s">
        <v>26</v>
      </c>
      <c r="N232" s="3">
        <v>3600</v>
      </c>
      <c r="O232" s="3">
        <v>-69710</v>
      </c>
      <c r="P232" s="2" t="s">
        <v>27</v>
      </c>
    </row>
    <row r="233" spans="1:16" outlineLevel="1">
      <c r="A233" s="14" t="s">
        <v>954</v>
      </c>
      <c r="M233" s="3">
        <f>SUBTOTAL(9,M225:M232)</f>
        <v>0</v>
      </c>
      <c r="N233" s="3">
        <f>SUBTOTAL(9,N225:N232)</f>
        <v>69710</v>
      </c>
    </row>
    <row r="234" spans="1:16" outlineLevel="2">
      <c r="A234" s="2" t="s">
        <v>441</v>
      </c>
      <c r="B234" s="2" t="s">
        <v>442</v>
      </c>
      <c r="C234" s="2" t="s">
        <v>443</v>
      </c>
      <c r="D234" s="3">
        <v>-24000</v>
      </c>
      <c r="E234" s="2" t="s">
        <v>444</v>
      </c>
      <c r="F234" s="4">
        <v>46210</v>
      </c>
      <c r="G234" s="5">
        <v>860525148</v>
      </c>
      <c r="H234" s="2" t="s">
        <v>445</v>
      </c>
      <c r="I234" s="2" t="s">
        <v>446</v>
      </c>
      <c r="J234" s="2" t="s">
        <v>447</v>
      </c>
      <c r="K234" s="3" t="s">
        <v>24</v>
      </c>
      <c r="L234" s="2" t="s">
        <v>25</v>
      </c>
      <c r="M234" s="3">
        <v>24000</v>
      </c>
      <c r="N234" s="3" t="s">
        <v>26</v>
      </c>
      <c r="O234" s="3">
        <v>0</v>
      </c>
      <c r="P234" s="2" t="s">
        <v>27</v>
      </c>
    </row>
    <row r="235" spans="1:16" outlineLevel="1">
      <c r="A235" s="14" t="s">
        <v>955</v>
      </c>
      <c r="M235" s="3">
        <f>SUBTOTAL(9,M234:M234)</f>
        <v>24000</v>
      </c>
      <c r="N235" s="3">
        <f>SUBTOTAL(9,N234:N234)</f>
        <v>0</v>
      </c>
    </row>
    <row r="236" spans="1:16" outlineLevel="2">
      <c r="A236" s="2" t="s">
        <v>448</v>
      </c>
      <c r="B236" s="2" t="s">
        <v>449</v>
      </c>
      <c r="C236" s="2" t="s">
        <v>450</v>
      </c>
      <c r="D236" s="3">
        <v>-184000</v>
      </c>
      <c r="E236" s="2" t="s">
        <v>451</v>
      </c>
      <c r="F236" s="4">
        <v>46210</v>
      </c>
      <c r="G236" s="5">
        <v>800108683</v>
      </c>
      <c r="H236" s="2" t="s">
        <v>452</v>
      </c>
      <c r="I236" s="2" t="s">
        <v>453</v>
      </c>
      <c r="J236" s="2" t="s">
        <v>447</v>
      </c>
      <c r="K236" s="3" t="s">
        <v>24</v>
      </c>
      <c r="L236" s="2" t="s">
        <v>25</v>
      </c>
      <c r="M236" s="3">
        <v>184000</v>
      </c>
      <c r="N236" s="3" t="s">
        <v>26</v>
      </c>
      <c r="O236" s="3">
        <v>0</v>
      </c>
      <c r="P236" s="2" t="s">
        <v>27</v>
      </c>
    </row>
    <row r="237" spans="1:16" outlineLevel="1">
      <c r="A237" s="14" t="s">
        <v>956</v>
      </c>
      <c r="M237" s="3">
        <f>SUBTOTAL(9,M236:M236)</f>
        <v>184000</v>
      </c>
      <c r="N237" s="3">
        <f>SUBTOTAL(9,N236:N236)</f>
        <v>0</v>
      </c>
    </row>
    <row r="238" spans="1:16" outlineLevel="2">
      <c r="A238" s="2" t="s">
        <v>454</v>
      </c>
      <c r="B238" s="2" t="s">
        <v>455</v>
      </c>
      <c r="C238" s="2" t="s">
        <v>456</v>
      </c>
      <c r="D238" s="3">
        <v>0</v>
      </c>
      <c r="E238" s="2" t="s">
        <v>37</v>
      </c>
      <c r="F238" s="4" t="s">
        <v>19</v>
      </c>
      <c r="G238" s="5">
        <v>0</v>
      </c>
      <c r="H238" s="2" t="s">
        <v>21</v>
      </c>
      <c r="I238" s="2" t="s">
        <v>22</v>
      </c>
      <c r="J238" s="2" t="s">
        <v>23</v>
      </c>
      <c r="K238" s="3" t="s">
        <v>24</v>
      </c>
      <c r="L238" s="2" t="s">
        <v>25</v>
      </c>
      <c r="M238" s="3">
        <v>0</v>
      </c>
      <c r="N238" s="3">
        <v>0</v>
      </c>
      <c r="O238" s="3">
        <v>0</v>
      </c>
      <c r="P238" s="2" t="s">
        <v>27</v>
      </c>
    </row>
    <row r="239" spans="1:16" outlineLevel="1">
      <c r="A239" s="14" t="s">
        <v>957</v>
      </c>
      <c r="M239" s="3">
        <f>SUBTOTAL(9,M238:M238)</f>
        <v>0</v>
      </c>
      <c r="N239" s="3">
        <f>SUBTOTAL(9,N238:N238)</f>
        <v>0</v>
      </c>
    </row>
    <row r="240" spans="1:16" outlineLevel="2">
      <c r="A240" s="2" t="s">
        <v>457</v>
      </c>
      <c r="B240" s="2" t="s">
        <v>458</v>
      </c>
      <c r="C240" s="2" t="s">
        <v>459</v>
      </c>
      <c r="D240" s="3">
        <v>0</v>
      </c>
      <c r="E240" s="2" t="s">
        <v>37</v>
      </c>
      <c r="F240" s="4" t="s">
        <v>19</v>
      </c>
      <c r="G240" s="5">
        <v>0</v>
      </c>
      <c r="H240" s="2" t="s">
        <v>21</v>
      </c>
      <c r="I240" s="2" t="s">
        <v>22</v>
      </c>
      <c r="J240" s="2" t="s">
        <v>23</v>
      </c>
      <c r="K240" s="3" t="s">
        <v>24</v>
      </c>
      <c r="L240" s="2" t="s">
        <v>25</v>
      </c>
      <c r="M240" s="3">
        <v>0</v>
      </c>
      <c r="N240" s="3">
        <v>0</v>
      </c>
      <c r="O240" s="3">
        <v>0</v>
      </c>
      <c r="P240" s="2" t="s">
        <v>27</v>
      </c>
    </row>
    <row r="241" spans="1:16" outlineLevel="1">
      <c r="A241" s="14" t="s">
        <v>958</v>
      </c>
      <c r="M241" s="3">
        <f>SUBTOTAL(9,M240:M240)</f>
        <v>0</v>
      </c>
      <c r="N241" s="3">
        <f>SUBTOTAL(9,N240:N240)</f>
        <v>0</v>
      </c>
    </row>
    <row r="242" spans="1:16" outlineLevel="2">
      <c r="A242" s="2" t="s">
        <v>460</v>
      </c>
      <c r="B242" s="2" t="s">
        <v>461</v>
      </c>
      <c r="C242" s="2" t="s">
        <v>462</v>
      </c>
      <c r="D242" s="3">
        <v>0</v>
      </c>
      <c r="E242" s="2" t="s">
        <v>37</v>
      </c>
      <c r="F242" s="4" t="s">
        <v>19</v>
      </c>
      <c r="G242" s="5">
        <v>0</v>
      </c>
      <c r="H242" s="2" t="s">
        <v>21</v>
      </c>
      <c r="I242" s="2" t="s">
        <v>22</v>
      </c>
      <c r="J242" s="2" t="s">
        <v>23</v>
      </c>
      <c r="K242" s="3" t="s">
        <v>24</v>
      </c>
      <c r="L242" s="2" t="s">
        <v>25</v>
      </c>
      <c r="M242" s="3">
        <v>0</v>
      </c>
      <c r="N242" s="3">
        <v>0</v>
      </c>
      <c r="O242" s="3">
        <v>0</v>
      </c>
      <c r="P242" s="2" t="s">
        <v>27</v>
      </c>
    </row>
    <row r="243" spans="1:16" outlineLevel="1">
      <c r="A243" s="14" t="s">
        <v>959</v>
      </c>
      <c r="M243" s="3">
        <f>SUBTOTAL(9,M242:M242)</f>
        <v>0</v>
      </c>
      <c r="N243" s="3">
        <f>SUBTOTAL(9,N242:N242)</f>
        <v>0</v>
      </c>
    </row>
    <row r="244" spans="1:16" outlineLevel="2">
      <c r="A244" s="2" t="s">
        <v>463</v>
      </c>
      <c r="B244" s="2" t="s">
        <v>464</v>
      </c>
      <c r="C244" s="2" t="s">
        <v>188</v>
      </c>
      <c r="D244" s="3">
        <v>-4393300</v>
      </c>
      <c r="E244" s="2" t="s">
        <v>465</v>
      </c>
      <c r="F244" s="4">
        <v>46205</v>
      </c>
      <c r="G244" s="5">
        <v>900089104</v>
      </c>
      <c r="H244" s="2" t="s">
        <v>466</v>
      </c>
      <c r="I244" s="2" t="s">
        <v>467</v>
      </c>
      <c r="J244" s="2" t="s">
        <v>468</v>
      </c>
      <c r="K244" s="3" t="s">
        <v>24</v>
      </c>
      <c r="L244" s="2" t="s">
        <v>25</v>
      </c>
      <c r="M244" s="3">
        <v>4393300</v>
      </c>
      <c r="N244" s="3" t="s">
        <v>26</v>
      </c>
      <c r="O244" s="3">
        <v>0</v>
      </c>
      <c r="P244" s="2" t="s">
        <v>27</v>
      </c>
    </row>
    <row r="245" spans="1:16" outlineLevel="1">
      <c r="A245" s="14" t="s">
        <v>960</v>
      </c>
      <c r="M245" s="3">
        <f>SUBTOTAL(9,M244:M244)</f>
        <v>4393300</v>
      </c>
      <c r="N245" s="3">
        <f>SUBTOTAL(9,N244:N244)</f>
        <v>0</v>
      </c>
    </row>
    <row r="246" spans="1:16" outlineLevel="2">
      <c r="A246" s="2" t="s">
        <v>469</v>
      </c>
      <c r="B246" s="2" t="s">
        <v>470</v>
      </c>
      <c r="C246" s="2" t="s">
        <v>471</v>
      </c>
      <c r="D246" s="3">
        <v>0</v>
      </c>
      <c r="E246" s="2" t="s">
        <v>37</v>
      </c>
      <c r="F246" s="4" t="s">
        <v>19</v>
      </c>
      <c r="G246" s="5">
        <v>0</v>
      </c>
      <c r="H246" s="2" t="s">
        <v>21</v>
      </c>
      <c r="I246" s="2" t="s">
        <v>22</v>
      </c>
      <c r="J246" s="2" t="s">
        <v>23</v>
      </c>
      <c r="K246" s="3" t="s">
        <v>24</v>
      </c>
      <c r="L246" s="2" t="s">
        <v>25</v>
      </c>
      <c r="M246" s="3">
        <v>0</v>
      </c>
      <c r="N246" s="3">
        <v>0</v>
      </c>
      <c r="O246" s="3">
        <v>0</v>
      </c>
      <c r="P246" s="2" t="s">
        <v>27</v>
      </c>
    </row>
    <row r="247" spans="1:16" outlineLevel="1">
      <c r="A247" s="14" t="s">
        <v>961</v>
      </c>
      <c r="M247" s="3">
        <f>SUBTOTAL(9,M246:M246)</f>
        <v>0</v>
      </c>
      <c r="N247" s="3">
        <f>SUBTOTAL(9,N246:N246)</f>
        <v>0</v>
      </c>
    </row>
    <row r="248" spans="1:16" outlineLevel="2">
      <c r="A248" s="2" t="s">
        <v>472</v>
      </c>
      <c r="B248" s="2" t="s">
        <v>473</v>
      </c>
      <c r="C248" s="2" t="s">
        <v>188</v>
      </c>
      <c r="D248" s="3">
        <v>-26777498213.549999</v>
      </c>
      <c r="E248" s="2" t="s">
        <v>474</v>
      </c>
      <c r="F248" s="4">
        <v>46205</v>
      </c>
      <c r="G248" s="5">
        <v>800148462</v>
      </c>
      <c r="H248" s="2" t="s">
        <v>475</v>
      </c>
      <c r="I248" s="2" t="s">
        <v>467</v>
      </c>
      <c r="J248" s="2" t="s">
        <v>23</v>
      </c>
      <c r="K248" s="3" t="s">
        <v>24</v>
      </c>
      <c r="L248" s="2" t="s">
        <v>25</v>
      </c>
      <c r="M248" s="3" t="s">
        <v>26</v>
      </c>
      <c r="N248" s="3">
        <v>4393300</v>
      </c>
      <c r="O248" s="3">
        <v>-26781891513.549999</v>
      </c>
      <c r="P248" s="2" t="s">
        <v>27</v>
      </c>
    </row>
    <row r="249" spans="1:16" outlineLevel="2">
      <c r="A249" s="2" t="s">
        <v>472</v>
      </c>
      <c r="B249" s="2" t="s">
        <v>473</v>
      </c>
      <c r="C249" s="2" t="s">
        <v>188</v>
      </c>
      <c r="D249" s="3">
        <v>-26777498213.549999</v>
      </c>
      <c r="E249" s="2" t="s">
        <v>476</v>
      </c>
      <c r="F249" s="4">
        <v>46205</v>
      </c>
      <c r="G249" s="5">
        <v>800148462</v>
      </c>
      <c r="H249" s="2" t="s">
        <v>475</v>
      </c>
      <c r="I249" s="2" t="s">
        <v>223</v>
      </c>
      <c r="J249" s="2" t="s">
        <v>23</v>
      </c>
      <c r="K249" s="3" t="s">
        <v>24</v>
      </c>
      <c r="L249" s="2" t="s">
        <v>25</v>
      </c>
      <c r="M249" s="3" t="s">
        <v>26</v>
      </c>
      <c r="N249" s="3">
        <v>18285500</v>
      </c>
      <c r="O249" s="3">
        <v>-26800177013.549999</v>
      </c>
      <c r="P249" s="2" t="s">
        <v>27</v>
      </c>
    </row>
    <row r="250" spans="1:16" outlineLevel="2">
      <c r="A250" s="2" t="s">
        <v>472</v>
      </c>
      <c r="B250" s="2" t="s">
        <v>473</v>
      </c>
      <c r="C250" s="2" t="s">
        <v>188</v>
      </c>
      <c r="D250" s="3">
        <v>-26777498213.549999</v>
      </c>
      <c r="E250" s="2" t="s">
        <v>477</v>
      </c>
      <c r="F250" s="4">
        <v>46219</v>
      </c>
      <c r="G250" s="5">
        <v>800148462</v>
      </c>
      <c r="H250" s="2" t="s">
        <v>475</v>
      </c>
      <c r="I250" s="2" t="s">
        <v>478</v>
      </c>
      <c r="J250" s="2" t="s">
        <v>23</v>
      </c>
      <c r="K250" s="3" t="s">
        <v>24</v>
      </c>
      <c r="L250" s="2" t="s">
        <v>25</v>
      </c>
      <c r="M250" s="3" t="s">
        <v>26</v>
      </c>
      <c r="N250" s="3">
        <v>10000000</v>
      </c>
      <c r="O250" s="3">
        <v>-26810177013.549999</v>
      </c>
      <c r="P250" s="2" t="s">
        <v>27</v>
      </c>
    </row>
    <row r="251" spans="1:16" outlineLevel="2">
      <c r="A251" s="2" t="s">
        <v>472</v>
      </c>
      <c r="B251" s="2" t="s">
        <v>473</v>
      </c>
      <c r="C251" s="2" t="s">
        <v>188</v>
      </c>
      <c r="D251" s="3">
        <v>-26777498213.549999</v>
      </c>
      <c r="E251" s="2" t="s">
        <v>479</v>
      </c>
      <c r="F251" s="4">
        <v>46232</v>
      </c>
      <c r="G251" s="5">
        <v>800148462</v>
      </c>
      <c r="H251" s="2" t="s">
        <v>475</v>
      </c>
      <c r="I251" s="2" t="s">
        <v>478</v>
      </c>
      <c r="J251" s="2" t="s">
        <v>23</v>
      </c>
      <c r="K251" s="3" t="s">
        <v>24</v>
      </c>
      <c r="L251" s="2" t="s">
        <v>25</v>
      </c>
      <c r="M251" s="3" t="s">
        <v>26</v>
      </c>
      <c r="N251" s="3">
        <v>15000000</v>
      </c>
      <c r="O251" s="3">
        <v>-26825177013.549999</v>
      </c>
      <c r="P251" s="2" t="s">
        <v>27</v>
      </c>
    </row>
    <row r="252" spans="1:16" outlineLevel="2">
      <c r="A252" s="2" t="s">
        <v>472</v>
      </c>
      <c r="B252" s="2" t="s">
        <v>473</v>
      </c>
      <c r="C252" s="2" t="s">
        <v>188</v>
      </c>
      <c r="D252" s="3">
        <v>-26777498213.549999</v>
      </c>
      <c r="E252" s="2" t="s">
        <v>480</v>
      </c>
      <c r="F252" s="4">
        <v>46233</v>
      </c>
      <c r="G252" s="5">
        <v>800148462</v>
      </c>
      <c r="H252" s="2" t="s">
        <v>475</v>
      </c>
      <c r="I252" s="2" t="s">
        <v>478</v>
      </c>
      <c r="J252" s="2" t="s">
        <v>23</v>
      </c>
      <c r="K252" s="3" t="s">
        <v>24</v>
      </c>
      <c r="L252" s="2" t="s">
        <v>25</v>
      </c>
      <c r="M252" s="3" t="s">
        <v>26</v>
      </c>
      <c r="N252" s="3">
        <v>177000000</v>
      </c>
      <c r="O252" s="3">
        <v>-27002177013.549999</v>
      </c>
      <c r="P252" s="2" t="s">
        <v>27</v>
      </c>
    </row>
    <row r="253" spans="1:16" outlineLevel="1">
      <c r="A253" s="14" t="s">
        <v>962</v>
      </c>
      <c r="M253" s="3">
        <f>SUBTOTAL(9,M248:M252)</f>
        <v>0</v>
      </c>
      <c r="N253" s="3">
        <f>SUBTOTAL(9,N248:N252)</f>
        <v>224678800</v>
      </c>
    </row>
    <row r="254" spans="1:16" outlineLevel="2">
      <c r="A254" s="2" t="s">
        <v>481</v>
      </c>
      <c r="B254" s="2" t="s">
        <v>482</v>
      </c>
      <c r="C254" s="2" t="s">
        <v>483</v>
      </c>
      <c r="D254" s="3">
        <v>-421710017.79000002</v>
      </c>
      <c r="E254" s="2" t="s">
        <v>18</v>
      </c>
      <c r="F254" s="4" t="s">
        <v>19</v>
      </c>
      <c r="G254" s="5" t="s">
        <v>20</v>
      </c>
      <c r="H254" s="2" t="s">
        <v>21</v>
      </c>
      <c r="I254" s="2" t="s">
        <v>22</v>
      </c>
      <c r="J254" s="2" t="s">
        <v>23</v>
      </c>
      <c r="K254" s="3" t="s">
        <v>24</v>
      </c>
      <c r="L254" s="2" t="s">
        <v>25</v>
      </c>
      <c r="M254" s="3" t="s">
        <v>26</v>
      </c>
      <c r="N254" s="3" t="s">
        <v>26</v>
      </c>
      <c r="O254" s="3">
        <v>-421710017.79000002</v>
      </c>
      <c r="P254" s="2" t="s">
        <v>27</v>
      </c>
    </row>
    <row r="255" spans="1:16" outlineLevel="1">
      <c r="A255" s="14" t="s">
        <v>963</v>
      </c>
      <c r="M255" s="3">
        <f>SUBTOTAL(9,M254:M254)</f>
        <v>0</v>
      </c>
      <c r="N255" s="3">
        <f>SUBTOTAL(9,N254:N254)</f>
        <v>0</v>
      </c>
    </row>
    <row r="256" spans="1:16" outlineLevel="2">
      <c r="A256" s="2" t="s">
        <v>484</v>
      </c>
      <c r="B256" s="2" t="s">
        <v>485</v>
      </c>
      <c r="C256" s="2" t="s">
        <v>486</v>
      </c>
      <c r="D256" s="3">
        <v>0</v>
      </c>
      <c r="E256" s="2" t="s">
        <v>487</v>
      </c>
      <c r="F256" s="4">
        <v>46224</v>
      </c>
      <c r="G256" s="5">
        <v>900491889</v>
      </c>
      <c r="H256" s="2" t="s">
        <v>269</v>
      </c>
      <c r="I256" s="2" t="s">
        <v>488</v>
      </c>
      <c r="J256" s="2" t="s">
        <v>23</v>
      </c>
      <c r="K256" s="3">
        <v>30084</v>
      </c>
      <c r="L256" s="2" t="s">
        <v>25</v>
      </c>
      <c r="M256" s="3">
        <v>5716</v>
      </c>
      <c r="N256" s="3" t="s">
        <v>26</v>
      </c>
      <c r="O256" s="3">
        <v>5716</v>
      </c>
      <c r="P256" s="2" t="s">
        <v>27</v>
      </c>
    </row>
    <row r="257" spans="1:16" outlineLevel="2">
      <c r="A257" s="2" t="s">
        <v>484</v>
      </c>
      <c r="B257" s="2" t="s">
        <v>485</v>
      </c>
      <c r="C257" s="2" t="s">
        <v>486</v>
      </c>
      <c r="D257" s="3">
        <v>0</v>
      </c>
      <c r="E257" s="2" t="s">
        <v>489</v>
      </c>
      <c r="F257" s="4">
        <v>46234</v>
      </c>
      <c r="G257" s="5">
        <v>830037946</v>
      </c>
      <c r="H257" s="2" t="s">
        <v>490</v>
      </c>
      <c r="I257" s="2" t="s">
        <v>491</v>
      </c>
      <c r="J257" s="2" t="s">
        <v>23</v>
      </c>
      <c r="K257" s="3">
        <v>109160</v>
      </c>
      <c r="L257" s="2" t="s">
        <v>25</v>
      </c>
      <c r="M257" s="3">
        <v>20740</v>
      </c>
      <c r="N257" s="3" t="s">
        <v>26</v>
      </c>
      <c r="O257" s="3">
        <v>26456</v>
      </c>
      <c r="P257" s="2" t="s">
        <v>27</v>
      </c>
    </row>
    <row r="258" spans="1:16" outlineLevel="2">
      <c r="A258" s="2" t="s">
        <v>484</v>
      </c>
      <c r="B258" s="2" t="s">
        <v>485</v>
      </c>
      <c r="C258" s="2" t="s">
        <v>486</v>
      </c>
      <c r="D258" s="3">
        <v>0</v>
      </c>
      <c r="E258" s="2" t="s">
        <v>492</v>
      </c>
      <c r="F258" s="4">
        <v>46234</v>
      </c>
      <c r="G258" s="5">
        <v>901941781</v>
      </c>
      <c r="H258" s="2" t="s">
        <v>493</v>
      </c>
      <c r="I258" s="2" t="s">
        <v>494</v>
      </c>
      <c r="J258" s="2" t="s">
        <v>23</v>
      </c>
      <c r="K258" s="3">
        <v>9748</v>
      </c>
      <c r="L258" s="2" t="s">
        <v>25</v>
      </c>
      <c r="M258" s="3">
        <v>1852.12</v>
      </c>
      <c r="N258" s="3" t="s">
        <v>26</v>
      </c>
      <c r="O258" s="3">
        <v>28308.12</v>
      </c>
      <c r="P258" s="2" t="s">
        <v>27</v>
      </c>
    </row>
    <row r="259" spans="1:16" outlineLevel="2">
      <c r="A259" s="2" t="s">
        <v>484</v>
      </c>
      <c r="B259" s="2" t="s">
        <v>485</v>
      </c>
      <c r="C259" s="2" t="s">
        <v>486</v>
      </c>
      <c r="D259" s="3">
        <v>0</v>
      </c>
      <c r="E259" s="2" t="s">
        <v>495</v>
      </c>
      <c r="F259" s="4">
        <v>46234</v>
      </c>
      <c r="G259" s="5">
        <v>77153627</v>
      </c>
      <c r="H259" s="2" t="s">
        <v>496</v>
      </c>
      <c r="I259" s="2" t="s">
        <v>497</v>
      </c>
      <c r="J259" s="2" t="s">
        <v>23</v>
      </c>
      <c r="K259" s="3">
        <v>32017</v>
      </c>
      <c r="L259" s="2" t="s">
        <v>25</v>
      </c>
      <c r="M259" s="3">
        <v>6083</v>
      </c>
      <c r="N259" s="3" t="s">
        <v>26</v>
      </c>
      <c r="O259" s="3">
        <v>34391.120000000003</v>
      </c>
      <c r="P259" s="2" t="s">
        <v>27</v>
      </c>
    </row>
    <row r="260" spans="1:16" outlineLevel="2">
      <c r="A260" s="2" t="s">
        <v>484</v>
      </c>
      <c r="B260" s="2" t="s">
        <v>485</v>
      </c>
      <c r="C260" s="2" t="s">
        <v>486</v>
      </c>
      <c r="D260" s="3">
        <v>0</v>
      </c>
      <c r="E260" s="2" t="s">
        <v>498</v>
      </c>
      <c r="F260" s="4">
        <v>46234</v>
      </c>
      <c r="G260" s="5">
        <v>77153627</v>
      </c>
      <c r="H260" s="2" t="s">
        <v>496</v>
      </c>
      <c r="I260" s="2" t="s">
        <v>499</v>
      </c>
      <c r="J260" s="2" t="s">
        <v>23</v>
      </c>
      <c r="K260" s="3">
        <v>118824</v>
      </c>
      <c r="L260" s="2" t="s">
        <v>25</v>
      </c>
      <c r="M260" s="3">
        <v>22576</v>
      </c>
      <c r="N260" s="3" t="s">
        <v>26</v>
      </c>
      <c r="O260" s="3">
        <v>56967.12</v>
      </c>
      <c r="P260" s="2" t="s">
        <v>27</v>
      </c>
    </row>
    <row r="261" spans="1:16" outlineLevel="2">
      <c r="A261" s="2" t="s">
        <v>484</v>
      </c>
      <c r="B261" s="2" t="s">
        <v>485</v>
      </c>
      <c r="C261" s="2" t="s">
        <v>486</v>
      </c>
      <c r="D261" s="3">
        <v>0</v>
      </c>
      <c r="E261" s="2" t="s">
        <v>500</v>
      </c>
      <c r="F261" s="4">
        <v>46234</v>
      </c>
      <c r="G261" s="5">
        <v>77154688</v>
      </c>
      <c r="H261" s="2" t="s">
        <v>501</v>
      </c>
      <c r="I261" s="2" t="s">
        <v>502</v>
      </c>
      <c r="J261" s="2" t="s">
        <v>23</v>
      </c>
      <c r="K261" s="3">
        <v>79832</v>
      </c>
      <c r="L261" s="2" t="s">
        <v>25</v>
      </c>
      <c r="M261" s="3">
        <v>15168</v>
      </c>
      <c r="N261" s="3" t="s">
        <v>26</v>
      </c>
      <c r="O261" s="3">
        <v>72135.12</v>
      </c>
      <c r="P261" s="2" t="s">
        <v>27</v>
      </c>
    </row>
    <row r="262" spans="1:16" outlineLevel="1">
      <c r="A262" s="14" t="s">
        <v>964</v>
      </c>
      <c r="M262" s="3">
        <f>SUBTOTAL(9,M256:M261)</f>
        <v>72135.12</v>
      </c>
      <c r="N262" s="3">
        <f>SUBTOTAL(9,N256:N261)</f>
        <v>0</v>
      </c>
    </row>
    <row r="263" spans="1:16" outlineLevel="2">
      <c r="A263" s="2" t="s">
        <v>503</v>
      </c>
      <c r="B263" s="2" t="s">
        <v>504</v>
      </c>
      <c r="C263" s="2" t="s">
        <v>505</v>
      </c>
      <c r="D263" s="3">
        <v>0</v>
      </c>
      <c r="E263" s="2" t="s">
        <v>506</v>
      </c>
      <c r="F263" s="4">
        <v>46218</v>
      </c>
      <c r="G263" s="5">
        <v>805009601</v>
      </c>
      <c r="H263" s="2" t="s">
        <v>242</v>
      </c>
      <c r="I263" s="2" t="s">
        <v>379</v>
      </c>
      <c r="J263" s="2" t="s">
        <v>23</v>
      </c>
      <c r="K263" s="3">
        <v>759000</v>
      </c>
      <c r="L263" s="2" t="s">
        <v>25</v>
      </c>
      <c r="M263" s="3">
        <v>144210</v>
      </c>
      <c r="N263" s="3" t="s">
        <v>26</v>
      </c>
      <c r="O263" s="3">
        <v>144210</v>
      </c>
      <c r="P263" s="2" t="s">
        <v>27</v>
      </c>
    </row>
    <row r="264" spans="1:16" outlineLevel="2">
      <c r="A264" s="2" t="s">
        <v>503</v>
      </c>
      <c r="B264" s="2" t="s">
        <v>504</v>
      </c>
      <c r="C264" s="2" t="s">
        <v>505</v>
      </c>
      <c r="D264" s="3">
        <v>0</v>
      </c>
      <c r="E264" s="2" t="s">
        <v>507</v>
      </c>
      <c r="F264" s="4">
        <v>46219</v>
      </c>
      <c r="G264" s="5">
        <v>901047340</v>
      </c>
      <c r="H264" s="2" t="s">
        <v>248</v>
      </c>
      <c r="I264" s="2" t="s">
        <v>371</v>
      </c>
      <c r="J264" s="2" t="s">
        <v>23</v>
      </c>
      <c r="K264" s="3">
        <v>370000</v>
      </c>
      <c r="L264" s="2" t="s">
        <v>25</v>
      </c>
      <c r="M264" s="3">
        <v>70300</v>
      </c>
      <c r="N264" s="3" t="s">
        <v>26</v>
      </c>
      <c r="O264" s="3">
        <v>214510</v>
      </c>
      <c r="P264" s="2" t="s">
        <v>27</v>
      </c>
    </row>
    <row r="265" spans="1:16" outlineLevel="2">
      <c r="A265" s="2" t="s">
        <v>503</v>
      </c>
      <c r="B265" s="2" t="s">
        <v>504</v>
      </c>
      <c r="C265" s="2" t="s">
        <v>505</v>
      </c>
      <c r="D265" s="3">
        <v>0</v>
      </c>
      <c r="E265" s="2" t="s">
        <v>508</v>
      </c>
      <c r="F265" s="4">
        <v>46220</v>
      </c>
      <c r="G265" s="5">
        <v>901145581</v>
      </c>
      <c r="H265" s="2" t="s">
        <v>251</v>
      </c>
      <c r="I265" s="2" t="s">
        <v>373</v>
      </c>
      <c r="J265" s="2" t="s">
        <v>23</v>
      </c>
      <c r="K265" s="3">
        <v>301130</v>
      </c>
      <c r="L265" s="2" t="s">
        <v>25</v>
      </c>
      <c r="M265" s="3">
        <v>57214.7</v>
      </c>
      <c r="N265" s="3" t="s">
        <v>26</v>
      </c>
      <c r="O265" s="3">
        <v>271724.7</v>
      </c>
      <c r="P265" s="2" t="s">
        <v>27</v>
      </c>
    </row>
    <row r="266" spans="1:16" outlineLevel="2">
      <c r="A266" s="2" t="s">
        <v>503</v>
      </c>
      <c r="B266" s="2" t="s">
        <v>504</v>
      </c>
      <c r="C266" s="2" t="s">
        <v>505</v>
      </c>
      <c r="D266" s="3">
        <v>0</v>
      </c>
      <c r="E266" s="2" t="s">
        <v>509</v>
      </c>
      <c r="F266" s="4">
        <v>46224</v>
      </c>
      <c r="G266" s="5">
        <v>860507441</v>
      </c>
      <c r="H266" s="2" t="s">
        <v>261</v>
      </c>
      <c r="I266" s="2" t="s">
        <v>375</v>
      </c>
      <c r="J266" s="2" t="s">
        <v>23</v>
      </c>
      <c r="K266" s="3">
        <v>2012727</v>
      </c>
      <c r="L266" s="2" t="s">
        <v>25</v>
      </c>
      <c r="M266" s="3">
        <v>382418.13</v>
      </c>
      <c r="N266" s="3" t="s">
        <v>26</v>
      </c>
      <c r="O266" s="3">
        <v>654142.82999999996</v>
      </c>
      <c r="P266" s="2" t="s">
        <v>27</v>
      </c>
    </row>
    <row r="267" spans="1:16" outlineLevel="2">
      <c r="A267" s="2" t="s">
        <v>503</v>
      </c>
      <c r="B267" s="2" t="s">
        <v>504</v>
      </c>
      <c r="C267" s="2" t="s">
        <v>505</v>
      </c>
      <c r="D267" s="3">
        <v>0</v>
      </c>
      <c r="E267" s="2" t="s">
        <v>510</v>
      </c>
      <c r="F267" s="4">
        <v>46234</v>
      </c>
      <c r="G267" s="5">
        <v>901225413</v>
      </c>
      <c r="H267" s="2" t="s">
        <v>383</v>
      </c>
      <c r="I267" s="2" t="s">
        <v>384</v>
      </c>
      <c r="J267" s="2" t="s">
        <v>23</v>
      </c>
      <c r="K267" s="3">
        <v>145000</v>
      </c>
      <c r="L267" s="2" t="s">
        <v>25</v>
      </c>
      <c r="M267" s="3">
        <v>27550</v>
      </c>
      <c r="N267" s="3" t="s">
        <v>26</v>
      </c>
      <c r="O267" s="3">
        <v>681692.83</v>
      </c>
      <c r="P267" s="2" t="s">
        <v>27</v>
      </c>
    </row>
    <row r="268" spans="1:16" outlineLevel="1">
      <c r="A268" s="14" t="s">
        <v>965</v>
      </c>
      <c r="M268" s="3">
        <f>SUBTOTAL(9,M263:M267)</f>
        <v>681692.83000000007</v>
      </c>
      <c r="N268" s="3">
        <f>SUBTOTAL(9,N263:N267)</f>
        <v>0</v>
      </c>
    </row>
    <row r="269" spans="1:16" outlineLevel="2">
      <c r="A269" s="2" t="s">
        <v>511</v>
      </c>
      <c r="B269" s="2" t="s">
        <v>512</v>
      </c>
      <c r="C269" s="2" t="s">
        <v>513</v>
      </c>
      <c r="D269" s="3">
        <v>0</v>
      </c>
      <c r="E269" s="2" t="s">
        <v>514</v>
      </c>
      <c r="F269" s="4">
        <v>46234</v>
      </c>
      <c r="G269" s="5">
        <v>901941781</v>
      </c>
      <c r="H269" s="2" t="s">
        <v>493</v>
      </c>
      <c r="I269" s="2" t="s">
        <v>494</v>
      </c>
      <c r="J269" s="2" t="s">
        <v>23</v>
      </c>
      <c r="K269" s="3">
        <v>46476</v>
      </c>
      <c r="L269" s="2" t="s">
        <v>25</v>
      </c>
      <c r="M269" s="3">
        <v>2323.88</v>
      </c>
      <c r="N269" s="3" t="s">
        <v>26</v>
      </c>
      <c r="O269" s="3">
        <v>2323.88</v>
      </c>
      <c r="P269" s="2" t="s">
        <v>27</v>
      </c>
    </row>
    <row r="270" spans="1:16" outlineLevel="1">
      <c r="A270" s="14" t="s">
        <v>966</v>
      </c>
      <c r="M270" s="3">
        <f>SUBTOTAL(9,M269:M269)</f>
        <v>2323.88</v>
      </c>
      <c r="N270" s="3">
        <f>SUBTOTAL(9,N269:N269)</f>
        <v>0</v>
      </c>
    </row>
    <row r="271" spans="1:16" outlineLevel="2">
      <c r="A271" s="2" t="s">
        <v>515</v>
      </c>
      <c r="B271" s="2" t="s">
        <v>516</v>
      </c>
      <c r="C271" s="2" t="s">
        <v>517</v>
      </c>
      <c r="D271" s="3">
        <v>0</v>
      </c>
      <c r="E271" s="2" t="s">
        <v>37</v>
      </c>
      <c r="F271" s="4" t="s">
        <v>19</v>
      </c>
      <c r="G271" s="5">
        <v>0</v>
      </c>
      <c r="H271" s="2" t="s">
        <v>21</v>
      </c>
      <c r="I271" s="2" t="s">
        <v>22</v>
      </c>
      <c r="J271" s="2" t="s">
        <v>23</v>
      </c>
      <c r="K271" s="3" t="s">
        <v>24</v>
      </c>
      <c r="L271" s="2" t="s">
        <v>25</v>
      </c>
      <c r="M271" s="3">
        <v>0</v>
      </c>
      <c r="N271" s="3">
        <v>0</v>
      </c>
      <c r="O271" s="3">
        <v>0</v>
      </c>
      <c r="P271" s="2" t="s">
        <v>27</v>
      </c>
    </row>
    <row r="272" spans="1:16" outlineLevel="1">
      <c r="A272" s="14" t="s">
        <v>967</v>
      </c>
      <c r="M272" s="3">
        <f>SUBTOTAL(9,M271:M271)</f>
        <v>0</v>
      </c>
      <c r="N272" s="3">
        <f>SUBTOTAL(9,N271:N271)</f>
        <v>0</v>
      </c>
    </row>
    <row r="273" spans="1:16" outlineLevel="2">
      <c r="A273" s="2" t="s">
        <v>518</v>
      </c>
      <c r="B273" s="2" t="s">
        <v>519</v>
      </c>
      <c r="C273" s="2" t="s">
        <v>520</v>
      </c>
      <c r="D273" s="3">
        <v>0</v>
      </c>
      <c r="E273" s="2" t="s">
        <v>37</v>
      </c>
      <c r="F273" s="4" t="s">
        <v>19</v>
      </c>
      <c r="G273" s="5">
        <v>0</v>
      </c>
      <c r="H273" s="2" t="s">
        <v>21</v>
      </c>
      <c r="I273" s="2" t="s">
        <v>22</v>
      </c>
      <c r="J273" s="2" t="s">
        <v>23</v>
      </c>
      <c r="K273" s="3" t="s">
        <v>24</v>
      </c>
      <c r="L273" s="2" t="s">
        <v>25</v>
      </c>
      <c r="M273" s="3">
        <v>0</v>
      </c>
      <c r="N273" s="3">
        <v>0</v>
      </c>
      <c r="O273" s="3">
        <v>0</v>
      </c>
      <c r="P273" s="2" t="s">
        <v>27</v>
      </c>
    </row>
    <row r="274" spans="1:16" outlineLevel="1">
      <c r="A274" s="14" t="s">
        <v>968</v>
      </c>
      <c r="M274" s="3">
        <f>SUBTOTAL(9,M273:M273)</f>
        <v>0</v>
      </c>
      <c r="N274" s="3">
        <f>SUBTOTAL(9,N273:N273)</f>
        <v>0</v>
      </c>
    </row>
    <row r="275" spans="1:16" outlineLevel="2">
      <c r="A275" s="2" t="s">
        <v>521</v>
      </c>
      <c r="B275" s="2" t="s">
        <v>522</v>
      </c>
      <c r="C275" s="2" t="s">
        <v>523</v>
      </c>
      <c r="D275" s="3">
        <v>0</v>
      </c>
      <c r="E275" s="2" t="s">
        <v>524</v>
      </c>
      <c r="F275" s="4">
        <v>46231</v>
      </c>
      <c r="G275" s="5">
        <v>18958102</v>
      </c>
      <c r="H275" s="2" t="s">
        <v>353</v>
      </c>
      <c r="I275" s="2" t="s">
        <v>525</v>
      </c>
      <c r="J275" s="2" t="s">
        <v>23</v>
      </c>
      <c r="K275" s="3" t="s">
        <v>24</v>
      </c>
      <c r="L275" s="2" t="s">
        <v>25</v>
      </c>
      <c r="M275" s="3">
        <v>10471665</v>
      </c>
      <c r="N275" s="3" t="s">
        <v>26</v>
      </c>
      <c r="O275" s="3">
        <v>10471665</v>
      </c>
      <c r="P275" s="2" t="s">
        <v>27</v>
      </c>
    </row>
    <row r="276" spans="1:16" outlineLevel="2">
      <c r="A276" s="2" t="s">
        <v>521</v>
      </c>
      <c r="B276" s="2" t="s">
        <v>522</v>
      </c>
      <c r="C276" s="2" t="s">
        <v>523</v>
      </c>
      <c r="D276" s="3">
        <v>0</v>
      </c>
      <c r="E276" s="2" t="s">
        <v>526</v>
      </c>
      <c r="F276" s="4">
        <v>46231</v>
      </c>
      <c r="G276" s="5">
        <v>93405661</v>
      </c>
      <c r="H276" s="2" t="s">
        <v>527</v>
      </c>
      <c r="I276" s="2" t="s">
        <v>525</v>
      </c>
      <c r="J276" s="2" t="s">
        <v>23</v>
      </c>
      <c r="K276" s="3" t="s">
        <v>24</v>
      </c>
      <c r="L276" s="2" t="s">
        <v>25</v>
      </c>
      <c r="M276" s="3">
        <v>1906935</v>
      </c>
      <c r="N276" s="3" t="s">
        <v>26</v>
      </c>
      <c r="O276" s="3">
        <v>12378600</v>
      </c>
      <c r="P276" s="2" t="s">
        <v>27</v>
      </c>
    </row>
    <row r="277" spans="1:16" outlineLevel="2">
      <c r="A277" s="2" t="s">
        <v>521</v>
      </c>
      <c r="B277" s="2" t="s">
        <v>522</v>
      </c>
      <c r="C277" s="2" t="s">
        <v>523</v>
      </c>
      <c r="D277" s="3">
        <v>0</v>
      </c>
      <c r="E277" s="2" t="s">
        <v>528</v>
      </c>
      <c r="F277" s="4">
        <v>46231</v>
      </c>
      <c r="G277" s="5">
        <v>800010961</v>
      </c>
      <c r="H277" s="2" t="s">
        <v>529</v>
      </c>
      <c r="I277" s="2" t="s">
        <v>530</v>
      </c>
      <c r="J277" s="2" t="s">
        <v>23</v>
      </c>
      <c r="K277" s="3" t="s">
        <v>24</v>
      </c>
      <c r="L277" s="2" t="s">
        <v>25</v>
      </c>
      <c r="M277" s="3" t="s">
        <v>26</v>
      </c>
      <c r="N277" s="3">
        <v>12378600</v>
      </c>
      <c r="O277" s="3">
        <v>0</v>
      </c>
      <c r="P277" s="2" t="s">
        <v>27</v>
      </c>
    </row>
    <row r="278" spans="1:16" outlineLevel="1">
      <c r="A278" s="14" t="s">
        <v>969</v>
      </c>
      <c r="M278" s="3">
        <f>SUBTOTAL(9,M275:M277)</f>
        <v>12378600</v>
      </c>
      <c r="N278" s="3">
        <f>SUBTOTAL(9,N275:N277)</f>
        <v>12378600</v>
      </c>
    </row>
    <row r="279" spans="1:16" outlineLevel="2">
      <c r="A279" s="2" t="s">
        <v>531</v>
      </c>
      <c r="B279" s="2" t="s">
        <v>532</v>
      </c>
      <c r="C279" s="2" t="s">
        <v>533</v>
      </c>
      <c r="D279" s="3">
        <v>-7025547</v>
      </c>
      <c r="E279" s="2" t="s">
        <v>18</v>
      </c>
      <c r="F279" s="4" t="s">
        <v>19</v>
      </c>
      <c r="G279" s="5" t="s">
        <v>20</v>
      </c>
      <c r="H279" s="2" t="s">
        <v>21</v>
      </c>
      <c r="I279" s="2" t="s">
        <v>22</v>
      </c>
      <c r="J279" s="2" t="s">
        <v>23</v>
      </c>
      <c r="K279" s="3" t="s">
        <v>24</v>
      </c>
      <c r="L279" s="2" t="s">
        <v>25</v>
      </c>
      <c r="M279" s="3" t="s">
        <v>26</v>
      </c>
      <c r="N279" s="3" t="s">
        <v>26</v>
      </c>
      <c r="O279" s="3">
        <v>-7025547</v>
      </c>
      <c r="P279" s="2" t="s">
        <v>27</v>
      </c>
    </row>
    <row r="280" spans="1:16" outlineLevel="1">
      <c r="A280" s="14" t="s">
        <v>970</v>
      </c>
      <c r="M280" s="3">
        <f>SUBTOTAL(9,M279:M279)</f>
        <v>0</v>
      </c>
      <c r="N280" s="3">
        <f>SUBTOTAL(9,N279:N279)</f>
        <v>0</v>
      </c>
    </row>
    <row r="281" spans="1:16" outlineLevel="2">
      <c r="A281" s="2" t="s">
        <v>534</v>
      </c>
      <c r="B281" s="2" t="s">
        <v>535</v>
      </c>
      <c r="C281" s="2" t="s">
        <v>536</v>
      </c>
      <c r="D281" s="3">
        <v>-421533</v>
      </c>
      <c r="E281" s="2" t="s">
        <v>18</v>
      </c>
      <c r="F281" s="4" t="s">
        <v>19</v>
      </c>
      <c r="G281" s="5" t="s">
        <v>20</v>
      </c>
      <c r="H281" s="2" t="s">
        <v>21</v>
      </c>
      <c r="I281" s="2" t="s">
        <v>22</v>
      </c>
      <c r="J281" s="2" t="s">
        <v>23</v>
      </c>
      <c r="K281" s="3" t="s">
        <v>24</v>
      </c>
      <c r="L281" s="2" t="s">
        <v>25</v>
      </c>
      <c r="M281" s="3" t="s">
        <v>26</v>
      </c>
      <c r="N281" s="3" t="s">
        <v>26</v>
      </c>
      <c r="O281" s="3">
        <v>-421533</v>
      </c>
      <c r="P281" s="2" t="s">
        <v>27</v>
      </c>
    </row>
    <row r="282" spans="1:16" outlineLevel="1">
      <c r="A282" s="14" t="s">
        <v>971</v>
      </c>
      <c r="M282" s="3">
        <f>SUBTOTAL(9,M281:M281)</f>
        <v>0</v>
      </c>
      <c r="N282" s="3">
        <f>SUBTOTAL(9,N281:N281)</f>
        <v>0</v>
      </c>
    </row>
    <row r="283" spans="1:16" outlineLevel="2">
      <c r="A283" s="2" t="s">
        <v>537</v>
      </c>
      <c r="B283" s="2" t="s">
        <v>538</v>
      </c>
      <c r="C283" s="2" t="s">
        <v>539</v>
      </c>
      <c r="D283" s="3">
        <v>-29179750</v>
      </c>
      <c r="E283" s="2" t="s">
        <v>18</v>
      </c>
      <c r="F283" s="4" t="s">
        <v>19</v>
      </c>
      <c r="G283" s="5" t="s">
        <v>20</v>
      </c>
      <c r="H283" s="2" t="s">
        <v>21</v>
      </c>
      <c r="I283" s="2" t="s">
        <v>22</v>
      </c>
      <c r="J283" s="2" t="s">
        <v>23</v>
      </c>
      <c r="K283" s="3" t="s">
        <v>24</v>
      </c>
      <c r="L283" s="2" t="s">
        <v>25</v>
      </c>
      <c r="M283" s="3" t="s">
        <v>26</v>
      </c>
      <c r="N283" s="3" t="s">
        <v>26</v>
      </c>
      <c r="O283" s="3">
        <v>-29179750</v>
      </c>
      <c r="P283" s="2" t="s">
        <v>27</v>
      </c>
    </row>
    <row r="284" spans="1:16" outlineLevel="1">
      <c r="A284" s="14" t="s">
        <v>972</v>
      </c>
      <c r="M284" s="3">
        <f>SUBTOTAL(9,M283:M283)</f>
        <v>0</v>
      </c>
      <c r="N284" s="3">
        <f>SUBTOTAL(9,N283:N283)</f>
        <v>0</v>
      </c>
    </row>
    <row r="285" spans="1:16" outlineLevel="2">
      <c r="A285" s="2" t="s">
        <v>540</v>
      </c>
      <c r="B285" s="2" t="s">
        <v>541</v>
      </c>
      <c r="C285" s="2" t="s">
        <v>542</v>
      </c>
      <c r="D285" s="3">
        <v>0</v>
      </c>
      <c r="E285" s="2" t="s">
        <v>37</v>
      </c>
      <c r="F285" s="4" t="s">
        <v>19</v>
      </c>
      <c r="G285" s="5">
        <v>0</v>
      </c>
      <c r="H285" s="2" t="s">
        <v>21</v>
      </c>
      <c r="I285" s="2" t="s">
        <v>22</v>
      </c>
      <c r="J285" s="2" t="s">
        <v>23</v>
      </c>
      <c r="K285" s="3" t="s">
        <v>24</v>
      </c>
      <c r="L285" s="2" t="s">
        <v>25</v>
      </c>
      <c r="M285" s="3">
        <v>0</v>
      </c>
      <c r="N285" s="3">
        <v>0</v>
      </c>
      <c r="O285" s="3">
        <v>0</v>
      </c>
      <c r="P285" s="2" t="s">
        <v>27</v>
      </c>
    </row>
    <row r="286" spans="1:16" outlineLevel="1">
      <c r="A286" s="14" t="s">
        <v>973</v>
      </c>
      <c r="M286" s="3">
        <f>SUBTOTAL(9,M285:M285)</f>
        <v>0</v>
      </c>
      <c r="N286" s="3">
        <f>SUBTOTAL(9,N285:N285)</f>
        <v>0</v>
      </c>
    </row>
    <row r="287" spans="1:16" outlineLevel="2">
      <c r="A287" s="2" t="s">
        <v>543</v>
      </c>
      <c r="B287" s="2" t="s">
        <v>544</v>
      </c>
      <c r="C287" s="2" t="s">
        <v>545</v>
      </c>
      <c r="D287" s="3">
        <v>-9738110590.9099998</v>
      </c>
      <c r="E287" s="2" t="s">
        <v>18</v>
      </c>
      <c r="F287" s="4" t="s">
        <v>19</v>
      </c>
      <c r="G287" s="5" t="s">
        <v>20</v>
      </c>
      <c r="H287" s="2" t="s">
        <v>21</v>
      </c>
      <c r="I287" s="2" t="s">
        <v>22</v>
      </c>
      <c r="J287" s="2" t="s">
        <v>23</v>
      </c>
      <c r="K287" s="3" t="s">
        <v>24</v>
      </c>
      <c r="L287" s="2" t="s">
        <v>25</v>
      </c>
      <c r="M287" s="3" t="s">
        <v>26</v>
      </c>
      <c r="N287" s="3" t="s">
        <v>26</v>
      </c>
      <c r="O287" s="3">
        <v>-9738110590.9099998</v>
      </c>
      <c r="P287" s="2" t="s">
        <v>27</v>
      </c>
    </row>
    <row r="288" spans="1:16" outlineLevel="1">
      <c r="A288" s="14" t="s">
        <v>974</v>
      </c>
      <c r="M288" s="3">
        <f>SUBTOTAL(9,M287:M287)</f>
        <v>0</v>
      </c>
      <c r="N288" s="3">
        <f>SUBTOTAL(9,N287:N287)</f>
        <v>0</v>
      </c>
    </row>
    <row r="289" spans="1:16" outlineLevel="2">
      <c r="A289" s="2" t="s">
        <v>546</v>
      </c>
      <c r="B289" s="2" t="s">
        <v>547</v>
      </c>
      <c r="C289" s="2" t="s">
        <v>337</v>
      </c>
      <c r="D289" s="3">
        <v>-39120840</v>
      </c>
      <c r="E289" s="2" t="s">
        <v>18</v>
      </c>
      <c r="F289" s="4" t="s">
        <v>19</v>
      </c>
      <c r="G289" s="5" t="s">
        <v>20</v>
      </c>
      <c r="H289" s="2" t="s">
        <v>21</v>
      </c>
      <c r="I289" s="2" t="s">
        <v>22</v>
      </c>
      <c r="J289" s="2" t="s">
        <v>23</v>
      </c>
      <c r="K289" s="3" t="s">
        <v>24</v>
      </c>
      <c r="L289" s="2" t="s">
        <v>25</v>
      </c>
      <c r="M289" s="3" t="s">
        <v>26</v>
      </c>
      <c r="N289" s="3" t="s">
        <v>26</v>
      </c>
      <c r="O289" s="3">
        <v>-39120840</v>
      </c>
      <c r="P289" s="2" t="s">
        <v>27</v>
      </c>
    </row>
    <row r="290" spans="1:16" outlineLevel="1">
      <c r="A290" s="14" t="s">
        <v>975</v>
      </c>
      <c r="M290" s="3">
        <f>SUBTOTAL(9,M289:M289)</f>
        <v>0</v>
      </c>
      <c r="N290" s="3">
        <f>SUBTOTAL(9,N289:N289)</f>
        <v>0</v>
      </c>
    </row>
    <row r="291" spans="1:16" outlineLevel="2">
      <c r="A291" s="2" t="s">
        <v>548</v>
      </c>
      <c r="B291" s="2" t="s">
        <v>549</v>
      </c>
      <c r="C291" s="2" t="s">
        <v>550</v>
      </c>
      <c r="D291" s="3">
        <v>-11677411807.84</v>
      </c>
      <c r="E291" s="2" t="s">
        <v>18</v>
      </c>
      <c r="F291" s="4" t="s">
        <v>19</v>
      </c>
      <c r="G291" s="5" t="s">
        <v>20</v>
      </c>
      <c r="H291" s="2" t="s">
        <v>21</v>
      </c>
      <c r="I291" s="2" t="s">
        <v>22</v>
      </c>
      <c r="J291" s="2" t="s">
        <v>23</v>
      </c>
      <c r="K291" s="3" t="s">
        <v>24</v>
      </c>
      <c r="L291" s="2" t="s">
        <v>25</v>
      </c>
      <c r="M291" s="3" t="s">
        <v>26</v>
      </c>
      <c r="N291" s="3" t="s">
        <v>26</v>
      </c>
      <c r="O291" s="3">
        <v>-11677411807.84</v>
      </c>
      <c r="P291" s="2" t="s">
        <v>27</v>
      </c>
    </row>
    <row r="292" spans="1:16" outlineLevel="1">
      <c r="A292" s="14" t="s">
        <v>976</v>
      </c>
      <c r="M292" s="3">
        <f>SUBTOTAL(9,M291:M291)</f>
        <v>0</v>
      </c>
      <c r="N292" s="3">
        <f>SUBTOTAL(9,N291:N291)</f>
        <v>0</v>
      </c>
    </row>
    <row r="293" spans="1:16" outlineLevel="2">
      <c r="A293" s="2" t="s">
        <v>551</v>
      </c>
      <c r="B293" s="2" t="s">
        <v>552</v>
      </c>
      <c r="C293" s="2" t="s">
        <v>553</v>
      </c>
      <c r="D293" s="3">
        <v>0</v>
      </c>
      <c r="E293" s="2" t="s">
        <v>37</v>
      </c>
      <c r="F293" s="4" t="s">
        <v>19</v>
      </c>
      <c r="G293" s="5">
        <v>0</v>
      </c>
      <c r="H293" s="2" t="s">
        <v>21</v>
      </c>
      <c r="I293" s="2" t="s">
        <v>22</v>
      </c>
      <c r="J293" s="2" t="s">
        <v>23</v>
      </c>
      <c r="K293" s="3" t="s">
        <v>24</v>
      </c>
      <c r="L293" s="2" t="s">
        <v>25</v>
      </c>
      <c r="M293" s="3">
        <v>0</v>
      </c>
      <c r="N293" s="3">
        <v>0</v>
      </c>
      <c r="O293" s="3">
        <v>0</v>
      </c>
      <c r="P293" s="2" t="s">
        <v>27</v>
      </c>
    </row>
    <row r="294" spans="1:16" outlineLevel="1">
      <c r="A294" s="14" t="s">
        <v>977</v>
      </c>
      <c r="M294" s="3">
        <f>SUBTOTAL(9,M293:M293)</f>
        <v>0</v>
      </c>
      <c r="N294" s="3">
        <f>SUBTOTAL(9,N293:N293)</f>
        <v>0</v>
      </c>
    </row>
    <row r="295" spans="1:16" outlineLevel="2">
      <c r="A295" s="2" t="s">
        <v>554</v>
      </c>
      <c r="B295" s="2" t="s">
        <v>555</v>
      </c>
      <c r="C295" s="2" t="s">
        <v>536</v>
      </c>
      <c r="D295" s="3">
        <v>0</v>
      </c>
      <c r="E295" s="2" t="s">
        <v>37</v>
      </c>
      <c r="F295" s="4" t="s">
        <v>19</v>
      </c>
      <c r="G295" s="5">
        <v>0</v>
      </c>
      <c r="H295" s="2" t="s">
        <v>21</v>
      </c>
      <c r="I295" s="2" t="s">
        <v>22</v>
      </c>
      <c r="J295" s="2" t="s">
        <v>23</v>
      </c>
      <c r="K295" s="3" t="s">
        <v>24</v>
      </c>
      <c r="L295" s="2" t="s">
        <v>25</v>
      </c>
      <c r="M295" s="3">
        <v>0</v>
      </c>
      <c r="N295" s="3">
        <v>0</v>
      </c>
      <c r="O295" s="3">
        <v>0</v>
      </c>
      <c r="P295" s="2" t="s">
        <v>27</v>
      </c>
    </row>
    <row r="296" spans="1:16" outlineLevel="1">
      <c r="A296" s="14" t="s">
        <v>978</v>
      </c>
      <c r="M296" s="3">
        <f>SUBTOTAL(9,M295:M295)</f>
        <v>0</v>
      </c>
      <c r="N296" s="3">
        <f>SUBTOTAL(9,N295:N295)</f>
        <v>0</v>
      </c>
    </row>
    <row r="297" spans="1:16" outlineLevel="2">
      <c r="A297" s="2" t="s">
        <v>556</v>
      </c>
      <c r="B297" s="2" t="s">
        <v>557</v>
      </c>
      <c r="C297" s="2" t="s">
        <v>558</v>
      </c>
      <c r="D297" s="3">
        <v>0</v>
      </c>
      <c r="E297" s="2" t="s">
        <v>37</v>
      </c>
      <c r="F297" s="4" t="s">
        <v>19</v>
      </c>
      <c r="G297" s="5">
        <v>0</v>
      </c>
      <c r="H297" s="2" t="s">
        <v>21</v>
      </c>
      <c r="I297" s="2" t="s">
        <v>22</v>
      </c>
      <c r="J297" s="2" t="s">
        <v>23</v>
      </c>
      <c r="K297" s="3" t="s">
        <v>24</v>
      </c>
      <c r="L297" s="2" t="s">
        <v>25</v>
      </c>
      <c r="M297" s="3">
        <v>0</v>
      </c>
      <c r="N297" s="3">
        <v>0</v>
      </c>
      <c r="O297" s="3">
        <v>0</v>
      </c>
      <c r="P297" s="2" t="s">
        <v>27</v>
      </c>
    </row>
    <row r="298" spans="1:16" outlineLevel="1">
      <c r="A298" s="14" t="s">
        <v>979</v>
      </c>
      <c r="M298" s="3">
        <f>SUBTOTAL(9,M297:M297)</f>
        <v>0</v>
      </c>
      <c r="N298" s="3">
        <f>SUBTOTAL(9,N297:N297)</f>
        <v>0</v>
      </c>
    </row>
    <row r="299" spans="1:16" outlineLevel="2">
      <c r="A299" s="2" t="s">
        <v>559</v>
      </c>
      <c r="B299" s="2" t="s">
        <v>560</v>
      </c>
      <c r="C299" s="2" t="s">
        <v>561</v>
      </c>
      <c r="D299" s="3">
        <v>0</v>
      </c>
      <c r="E299" s="2" t="s">
        <v>37</v>
      </c>
      <c r="F299" s="4" t="s">
        <v>19</v>
      </c>
      <c r="G299" s="5">
        <v>0</v>
      </c>
      <c r="H299" s="2" t="s">
        <v>21</v>
      </c>
      <c r="I299" s="2" t="s">
        <v>22</v>
      </c>
      <c r="J299" s="2" t="s">
        <v>23</v>
      </c>
      <c r="K299" s="3" t="s">
        <v>24</v>
      </c>
      <c r="L299" s="2" t="s">
        <v>25</v>
      </c>
      <c r="M299" s="3">
        <v>0</v>
      </c>
      <c r="N299" s="3">
        <v>0</v>
      </c>
      <c r="O299" s="3">
        <v>0</v>
      </c>
      <c r="P299" s="2" t="s">
        <v>27</v>
      </c>
    </row>
    <row r="300" spans="1:16" outlineLevel="1">
      <c r="A300" s="14" t="s">
        <v>980</v>
      </c>
      <c r="M300" s="3">
        <f>SUBTOTAL(9,M299:M299)</f>
        <v>0</v>
      </c>
      <c r="N300" s="3">
        <f>SUBTOTAL(9,N299:N299)</f>
        <v>0</v>
      </c>
    </row>
    <row r="301" spans="1:16" outlineLevel="2">
      <c r="A301" s="2" t="s">
        <v>562</v>
      </c>
      <c r="B301" s="2" t="s">
        <v>563</v>
      </c>
      <c r="C301" s="2" t="s">
        <v>564</v>
      </c>
      <c r="D301" s="3">
        <v>0</v>
      </c>
      <c r="E301" s="2" t="s">
        <v>37</v>
      </c>
      <c r="F301" s="4" t="s">
        <v>19</v>
      </c>
      <c r="G301" s="5">
        <v>0</v>
      </c>
      <c r="H301" s="2" t="s">
        <v>21</v>
      </c>
      <c r="I301" s="2" t="s">
        <v>22</v>
      </c>
      <c r="J301" s="2" t="s">
        <v>23</v>
      </c>
      <c r="K301" s="3" t="s">
        <v>24</v>
      </c>
      <c r="L301" s="2" t="s">
        <v>25</v>
      </c>
      <c r="M301" s="3">
        <v>0</v>
      </c>
      <c r="N301" s="3">
        <v>0</v>
      </c>
      <c r="O301" s="3">
        <v>0</v>
      </c>
      <c r="P301" s="2" t="s">
        <v>27</v>
      </c>
    </row>
    <row r="302" spans="1:16" outlineLevel="1">
      <c r="A302" s="14" t="s">
        <v>981</v>
      </c>
      <c r="M302" s="3">
        <f>SUBTOTAL(9,M301:M301)</f>
        <v>0</v>
      </c>
      <c r="N302" s="3">
        <f>SUBTOTAL(9,N301:N301)</f>
        <v>0</v>
      </c>
    </row>
    <row r="303" spans="1:16" outlineLevel="2">
      <c r="A303" s="2" t="s">
        <v>565</v>
      </c>
      <c r="B303" s="2" t="s">
        <v>566</v>
      </c>
      <c r="C303" s="2" t="s">
        <v>567</v>
      </c>
      <c r="D303" s="3">
        <v>-3678149999.7600002</v>
      </c>
      <c r="E303" s="2" t="s">
        <v>18</v>
      </c>
      <c r="F303" s="4" t="s">
        <v>19</v>
      </c>
      <c r="G303" s="5" t="s">
        <v>20</v>
      </c>
      <c r="H303" s="2" t="s">
        <v>21</v>
      </c>
      <c r="I303" s="2" t="s">
        <v>22</v>
      </c>
      <c r="J303" s="2" t="s">
        <v>23</v>
      </c>
      <c r="K303" s="3" t="s">
        <v>24</v>
      </c>
      <c r="L303" s="2" t="s">
        <v>25</v>
      </c>
      <c r="M303" s="3" t="s">
        <v>26</v>
      </c>
      <c r="N303" s="3" t="s">
        <v>26</v>
      </c>
      <c r="O303" s="3">
        <v>-3678149999.7600002</v>
      </c>
      <c r="P303" s="2" t="s">
        <v>27</v>
      </c>
    </row>
    <row r="304" spans="1:16" outlineLevel="1">
      <c r="A304" s="14" t="s">
        <v>982</v>
      </c>
      <c r="M304" s="3">
        <f>SUBTOTAL(9,M303:M303)</f>
        <v>0</v>
      </c>
      <c r="N304" s="3">
        <f>SUBTOTAL(9,N303:N303)</f>
        <v>0</v>
      </c>
    </row>
    <row r="305" spans="1:16" outlineLevel="2">
      <c r="A305" s="2" t="s">
        <v>568</v>
      </c>
      <c r="B305" s="2" t="s">
        <v>569</v>
      </c>
      <c r="C305" s="2" t="s">
        <v>188</v>
      </c>
      <c r="D305" s="3">
        <v>-207189759</v>
      </c>
      <c r="E305" s="2" t="s">
        <v>18</v>
      </c>
      <c r="F305" s="4" t="s">
        <v>19</v>
      </c>
      <c r="G305" s="5" t="s">
        <v>20</v>
      </c>
      <c r="H305" s="2" t="s">
        <v>21</v>
      </c>
      <c r="I305" s="2" t="s">
        <v>22</v>
      </c>
      <c r="J305" s="2" t="s">
        <v>23</v>
      </c>
      <c r="K305" s="3" t="s">
        <v>24</v>
      </c>
      <c r="L305" s="2" t="s">
        <v>25</v>
      </c>
      <c r="M305" s="3" t="s">
        <v>26</v>
      </c>
      <c r="N305" s="3" t="s">
        <v>26</v>
      </c>
      <c r="O305" s="3">
        <v>-207189759</v>
      </c>
      <c r="P305" s="2" t="s">
        <v>27</v>
      </c>
    </row>
    <row r="306" spans="1:16" outlineLevel="1">
      <c r="A306" s="14" t="s">
        <v>983</v>
      </c>
      <c r="M306" s="3">
        <f>SUBTOTAL(9,M305:M305)</f>
        <v>0</v>
      </c>
      <c r="N306" s="3">
        <f>SUBTOTAL(9,N305:N305)</f>
        <v>0</v>
      </c>
    </row>
    <row r="307" spans="1:16" outlineLevel="2">
      <c r="A307" s="2" t="s">
        <v>570</v>
      </c>
      <c r="B307" s="2" t="s">
        <v>571</v>
      </c>
      <c r="C307" s="2" t="s">
        <v>572</v>
      </c>
      <c r="D307" s="3">
        <v>-1850204293</v>
      </c>
      <c r="E307" s="2" t="s">
        <v>18</v>
      </c>
      <c r="F307" s="4" t="s">
        <v>19</v>
      </c>
      <c r="G307" s="5" t="s">
        <v>20</v>
      </c>
      <c r="H307" s="2" t="s">
        <v>21</v>
      </c>
      <c r="I307" s="2" t="s">
        <v>22</v>
      </c>
      <c r="J307" s="2" t="s">
        <v>23</v>
      </c>
      <c r="K307" s="3" t="s">
        <v>24</v>
      </c>
      <c r="L307" s="2" t="s">
        <v>25</v>
      </c>
      <c r="M307" s="3" t="s">
        <v>26</v>
      </c>
      <c r="N307" s="3" t="s">
        <v>26</v>
      </c>
      <c r="O307" s="3">
        <v>-1850204293</v>
      </c>
      <c r="P307" s="2" t="s">
        <v>27</v>
      </c>
    </row>
    <row r="308" spans="1:16" outlineLevel="1">
      <c r="A308" s="14" t="s">
        <v>984</v>
      </c>
      <c r="M308" s="3">
        <f>SUBTOTAL(9,M307:M307)</f>
        <v>0</v>
      </c>
      <c r="N308" s="3">
        <f>SUBTOTAL(9,N307:N307)</f>
        <v>0</v>
      </c>
    </row>
    <row r="309" spans="1:16" outlineLevel="2">
      <c r="A309" s="2" t="s">
        <v>573</v>
      </c>
      <c r="B309" s="2" t="s">
        <v>574</v>
      </c>
      <c r="C309" s="2" t="s">
        <v>575</v>
      </c>
      <c r="D309" s="3">
        <v>-2500000000</v>
      </c>
      <c r="E309" s="2" t="s">
        <v>18</v>
      </c>
      <c r="F309" s="4" t="s">
        <v>19</v>
      </c>
      <c r="G309" s="5" t="s">
        <v>20</v>
      </c>
      <c r="H309" s="2" t="s">
        <v>21</v>
      </c>
      <c r="I309" s="2" t="s">
        <v>22</v>
      </c>
      <c r="J309" s="2" t="s">
        <v>23</v>
      </c>
      <c r="K309" s="3" t="s">
        <v>24</v>
      </c>
      <c r="L309" s="2" t="s">
        <v>25</v>
      </c>
      <c r="M309" s="3" t="s">
        <v>26</v>
      </c>
      <c r="N309" s="3" t="s">
        <v>26</v>
      </c>
      <c r="O309" s="3">
        <v>-2500000000</v>
      </c>
      <c r="P309" s="2" t="s">
        <v>27</v>
      </c>
    </row>
    <row r="310" spans="1:16" outlineLevel="1">
      <c r="A310" s="14" t="s">
        <v>985</v>
      </c>
      <c r="M310" s="3">
        <f>SUBTOTAL(9,M309:M309)</f>
        <v>0</v>
      </c>
      <c r="N310" s="3">
        <f>SUBTOTAL(9,N309:N309)</f>
        <v>0</v>
      </c>
    </row>
    <row r="311" spans="1:16" outlineLevel="2">
      <c r="A311" s="2" t="s">
        <v>576</v>
      </c>
      <c r="B311" s="2" t="s">
        <v>577</v>
      </c>
      <c r="C311" s="2" t="s">
        <v>578</v>
      </c>
      <c r="D311" s="3">
        <v>500000000</v>
      </c>
      <c r="E311" s="2" t="s">
        <v>18</v>
      </c>
      <c r="F311" s="4" t="s">
        <v>19</v>
      </c>
      <c r="G311" s="5" t="s">
        <v>20</v>
      </c>
      <c r="H311" s="2" t="s">
        <v>21</v>
      </c>
      <c r="I311" s="2" t="s">
        <v>22</v>
      </c>
      <c r="J311" s="2" t="s">
        <v>23</v>
      </c>
      <c r="K311" s="3" t="s">
        <v>24</v>
      </c>
      <c r="L311" s="2" t="s">
        <v>25</v>
      </c>
      <c r="M311" s="3" t="s">
        <v>26</v>
      </c>
      <c r="N311" s="3" t="s">
        <v>26</v>
      </c>
      <c r="O311" s="3">
        <v>500000000</v>
      </c>
      <c r="P311" s="2" t="s">
        <v>27</v>
      </c>
    </row>
    <row r="312" spans="1:16" outlineLevel="1">
      <c r="A312" s="14" t="s">
        <v>986</v>
      </c>
      <c r="M312" s="3">
        <f>SUBTOTAL(9,M311:M311)</f>
        <v>0</v>
      </c>
      <c r="N312" s="3">
        <f>SUBTOTAL(9,N311:N311)</f>
        <v>0</v>
      </c>
    </row>
    <row r="313" spans="1:16" outlineLevel="2">
      <c r="A313" s="2" t="s">
        <v>579</v>
      </c>
      <c r="B313" s="2" t="s">
        <v>580</v>
      </c>
      <c r="C313" s="2" t="s">
        <v>581</v>
      </c>
      <c r="D313" s="3">
        <v>-120812698333.52</v>
      </c>
      <c r="E313" s="2" t="s">
        <v>18</v>
      </c>
      <c r="F313" s="4" t="s">
        <v>19</v>
      </c>
      <c r="G313" s="5" t="s">
        <v>20</v>
      </c>
      <c r="H313" s="2" t="s">
        <v>21</v>
      </c>
      <c r="I313" s="2" t="s">
        <v>22</v>
      </c>
      <c r="J313" s="2" t="s">
        <v>23</v>
      </c>
      <c r="K313" s="3" t="s">
        <v>24</v>
      </c>
      <c r="L313" s="2" t="s">
        <v>25</v>
      </c>
      <c r="M313" s="3" t="s">
        <v>26</v>
      </c>
      <c r="N313" s="3" t="s">
        <v>26</v>
      </c>
      <c r="O313" s="3">
        <v>-120812698333.52</v>
      </c>
      <c r="P313" s="2" t="s">
        <v>27</v>
      </c>
    </row>
    <row r="314" spans="1:16" outlineLevel="1">
      <c r="A314" s="14" t="s">
        <v>987</v>
      </c>
      <c r="M314" s="3">
        <f>SUBTOTAL(9,M313:M313)</f>
        <v>0</v>
      </c>
      <c r="N314" s="3">
        <f>SUBTOTAL(9,N313:N313)</f>
        <v>0</v>
      </c>
    </row>
    <row r="315" spans="1:16" outlineLevel="2">
      <c r="A315" s="2" t="s">
        <v>582</v>
      </c>
      <c r="B315" s="2" t="s">
        <v>583</v>
      </c>
      <c r="C315" s="2" t="s">
        <v>584</v>
      </c>
      <c r="D315" s="3">
        <v>8783694795.4300003</v>
      </c>
      <c r="E315" s="2" t="s">
        <v>18</v>
      </c>
      <c r="F315" s="4" t="s">
        <v>19</v>
      </c>
      <c r="G315" s="5" t="s">
        <v>20</v>
      </c>
      <c r="H315" s="2" t="s">
        <v>21</v>
      </c>
      <c r="I315" s="2" t="s">
        <v>22</v>
      </c>
      <c r="J315" s="2" t="s">
        <v>23</v>
      </c>
      <c r="K315" s="3" t="s">
        <v>24</v>
      </c>
      <c r="L315" s="2" t="s">
        <v>25</v>
      </c>
      <c r="M315" s="3" t="s">
        <v>26</v>
      </c>
      <c r="N315" s="3" t="s">
        <v>26</v>
      </c>
      <c r="O315" s="3">
        <v>8783694795.4300003</v>
      </c>
      <c r="P315" s="2" t="s">
        <v>27</v>
      </c>
    </row>
    <row r="316" spans="1:16" outlineLevel="1">
      <c r="A316" s="14" t="s">
        <v>988</v>
      </c>
      <c r="M316" s="3">
        <f>SUBTOTAL(9,M315:M315)</f>
        <v>0</v>
      </c>
      <c r="N316" s="3">
        <f>SUBTOTAL(9,N315:N315)</f>
        <v>0</v>
      </c>
    </row>
    <row r="317" spans="1:16" outlineLevel="2">
      <c r="A317" s="2" t="s">
        <v>585</v>
      </c>
      <c r="B317" s="2" t="s">
        <v>586</v>
      </c>
      <c r="C317" s="2" t="s">
        <v>587</v>
      </c>
      <c r="D317" s="3">
        <v>-431113979.77999997</v>
      </c>
      <c r="E317" s="2" t="s">
        <v>18</v>
      </c>
      <c r="F317" s="4" t="s">
        <v>19</v>
      </c>
      <c r="G317" s="5" t="s">
        <v>20</v>
      </c>
      <c r="H317" s="2" t="s">
        <v>21</v>
      </c>
      <c r="I317" s="2" t="s">
        <v>22</v>
      </c>
      <c r="J317" s="2" t="s">
        <v>23</v>
      </c>
      <c r="K317" s="3" t="s">
        <v>24</v>
      </c>
      <c r="L317" s="2" t="s">
        <v>25</v>
      </c>
      <c r="M317" s="3" t="s">
        <v>26</v>
      </c>
      <c r="N317" s="3" t="s">
        <v>26</v>
      </c>
      <c r="O317" s="3">
        <v>-431113979.77999997</v>
      </c>
      <c r="P317" s="2" t="s">
        <v>27</v>
      </c>
    </row>
    <row r="318" spans="1:16" outlineLevel="1">
      <c r="A318" s="14" t="s">
        <v>989</v>
      </c>
      <c r="M318" s="3">
        <f>SUBTOTAL(9,M317:M317)</f>
        <v>0</v>
      </c>
      <c r="N318" s="3">
        <f>SUBTOTAL(9,N317:N317)</f>
        <v>0</v>
      </c>
    </row>
    <row r="319" spans="1:16" outlineLevel="2">
      <c r="A319" s="2" t="s">
        <v>588</v>
      </c>
      <c r="B319" s="2" t="s">
        <v>589</v>
      </c>
      <c r="C319" s="2" t="s">
        <v>590</v>
      </c>
      <c r="D319" s="3">
        <v>-24961884904.380001</v>
      </c>
      <c r="E319" s="2" t="s">
        <v>18</v>
      </c>
      <c r="F319" s="4" t="s">
        <v>19</v>
      </c>
      <c r="G319" s="5" t="s">
        <v>20</v>
      </c>
      <c r="H319" s="2" t="s">
        <v>21</v>
      </c>
      <c r="I319" s="2" t="s">
        <v>22</v>
      </c>
      <c r="J319" s="2" t="s">
        <v>23</v>
      </c>
      <c r="K319" s="3" t="s">
        <v>24</v>
      </c>
      <c r="L319" s="2" t="s">
        <v>25</v>
      </c>
      <c r="M319" s="3" t="s">
        <v>26</v>
      </c>
      <c r="N319" s="3" t="s">
        <v>26</v>
      </c>
      <c r="O319" s="3">
        <v>-24961884904.380001</v>
      </c>
      <c r="P319" s="2" t="s">
        <v>27</v>
      </c>
    </row>
    <row r="320" spans="1:16" outlineLevel="1">
      <c r="A320" s="14" t="s">
        <v>990</v>
      </c>
      <c r="M320" s="3">
        <f>SUBTOTAL(9,M319:M319)</f>
        <v>0</v>
      </c>
      <c r="N320" s="3">
        <f>SUBTOTAL(9,N319:N319)</f>
        <v>0</v>
      </c>
    </row>
    <row r="321" spans="1:16" outlineLevel="2">
      <c r="A321" s="2" t="s">
        <v>591</v>
      </c>
      <c r="B321" s="2" t="s">
        <v>592</v>
      </c>
      <c r="C321" s="2" t="s">
        <v>593</v>
      </c>
      <c r="D321" s="3">
        <v>-4136382157.3899999</v>
      </c>
      <c r="E321" s="2" t="s">
        <v>18</v>
      </c>
      <c r="F321" s="4" t="s">
        <v>19</v>
      </c>
      <c r="G321" s="5" t="s">
        <v>20</v>
      </c>
      <c r="H321" s="2" t="s">
        <v>21</v>
      </c>
      <c r="I321" s="2" t="s">
        <v>22</v>
      </c>
      <c r="J321" s="2" t="s">
        <v>23</v>
      </c>
      <c r="K321" s="3" t="s">
        <v>24</v>
      </c>
      <c r="L321" s="2" t="s">
        <v>25</v>
      </c>
      <c r="M321" s="3" t="s">
        <v>26</v>
      </c>
      <c r="N321" s="3" t="s">
        <v>26</v>
      </c>
      <c r="O321" s="3">
        <v>-4136382157.3899999</v>
      </c>
      <c r="P321" s="2" t="s">
        <v>27</v>
      </c>
    </row>
    <row r="322" spans="1:16" outlineLevel="1">
      <c r="A322" s="14" t="s">
        <v>991</v>
      </c>
      <c r="M322" s="3">
        <f>SUBTOTAL(9,M321:M321)</f>
        <v>0</v>
      </c>
      <c r="N322" s="3">
        <f>SUBTOTAL(9,N321:N321)</f>
        <v>0</v>
      </c>
    </row>
    <row r="323" spans="1:16" outlineLevel="2">
      <c r="A323" s="2" t="s">
        <v>594</v>
      </c>
      <c r="B323" s="2" t="s">
        <v>595</v>
      </c>
      <c r="C323" s="2" t="s">
        <v>596</v>
      </c>
      <c r="D323" s="3">
        <v>-55921483653.589996</v>
      </c>
      <c r="E323" s="2" t="s">
        <v>18</v>
      </c>
      <c r="F323" s="4" t="s">
        <v>19</v>
      </c>
      <c r="G323" s="5" t="s">
        <v>20</v>
      </c>
      <c r="H323" s="2" t="s">
        <v>21</v>
      </c>
      <c r="I323" s="2" t="s">
        <v>22</v>
      </c>
      <c r="J323" s="2" t="s">
        <v>23</v>
      </c>
      <c r="K323" s="3" t="s">
        <v>24</v>
      </c>
      <c r="L323" s="2" t="s">
        <v>25</v>
      </c>
      <c r="M323" s="3" t="s">
        <v>26</v>
      </c>
      <c r="N323" s="3" t="s">
        <v>26</v>
      </c>
      <c r="O323" s="3">
        <v>-55921483653.589996</v>
      </c>
      <c r="P323" s="2" t="s">
        <v>27</v>
      </c>
    </row>
    <row r="324" spans="1:16" outlineLevel="1">
      <c r="A324" s="14" t="s">
        <v>992</v>
      </c>
      <c r="M324" s="3">
        <f>SUBTOTAL(9,M323:M323)</f>
        <v>0</v>
      </c>
      <c r="N324" s="3">
        <f>SUBTOTAL(9,N323:N323)</f>
        <v>0</v>
      </c>
    </row>
    <row r="325" spans="1:16" outlineLevel="2">
      <c r="A325" s="2" t="s">
        <v>597</v>
      </c>
      <c r="B325" s="2" t="s">
        <v>598</v>
      </c>
      <c r="C325" s="2" t="s">
        <v>599</v>
      </c>
      <c r="D325" s="3">
        <v>125066811172.21001</v>
      </c>
      <c r="E325" s="2" t="s">
        <v>18</v>
      </c>
      <c r="F325" s="4" t="s">
        <v>19</v>
      </c>
      <c r="G325" s="5" t="s">
        <v>20</v>
      </c>
      <c r="H325" s="2" t="s">
        <v>21</v>
      </c>
      <c r="I325" s="2" t="s">
        <v>22</v>
      </c>
      <c r="J325" s="2" t="s">
        <v>23</v>
      </c>
      <c r="K325" s="3" t="s">
        <v>24</v>
      </c>
      <c r="L325" s="2" t="s">
        <v>25</v>
      </c>
      <c r="M325" s="3" t="s">
        <v>26</v>
      </c>
      <c r="N325" s="3" t="s">
        <v>26</v>
      </c>
      <c r="O325" s="3">
        <v>125066811172.21001</v>
      </c>
      <c r="P325" s="2" t="s">
        <v>27</v>
      </c>
    </row>
    <row r="326" spans="1:16" outlineLevel="1">
      <c r="A326" s="14" t="s">
        <v>993</v>
      </c>
      <c r="M326" s="3">
        <f>SUBTOTAL(9,M325:M325)</f>
        <v>0</v>
      </c>
      <c r="N326" s="3">
        <f>SUBTOTAL(9,N325:N325)</f>
        <v>0</v>
      </c>
    </row>
    <row r="327" spans="1:16" outlineLevel="2">
      <c r="A327" s="2" t="s">
        <v>600</v>
      </c>
      <c r="B327" s="2" t="s">
        <v>601</v>
      </c>
      <c r="C327" s="2" t="s">
        <v>602</v>
      </c>
      <c r="D327" s="3">
        <v>11808472782.57</v>
      </c>
      <c r="E327" s="2" t="s">
        <v>18</v>
      </c>
      <c r="F327" s="4" t="s">
        <v>19</v>
      </c>
      <c r="G327" s="5" t="s">
        <v>20</v>
      </c>
      <c r="H327" s="2" t="s">
        <v>21</v>
      </c>
      <c r="I327" s="2" t="s">
        <v>22</v>
      </c>
      <c r="J327" s="2" t="s">
        <v>23</v>
      </c>
      <c r="K327" s="3" t="s">
        <v>24</v>
      </c>
      <c r="L327" s="2" t="s">
        <v>25</v>
      </c>
      <c r="M327" s="3" t="s">
        <v>26</v>
      </c>
      <c r="N327" s="3" t="s">
        <v>26</v>
      </c>
      <c r="O327" s="3">
        <v>11808472782.57</v>
      </c>
      <c r="P327" s="2" t="s">
        <v>27</v>
      </c>
    </row>
    <row r="328" spans="1:16" outlineLevel="1">
      <c r="A328" s="14" t="s">
        <v>994</v>
      </c>
      <c r="M328" s="3">
        <f>SUBTOTAL(9,M327:M327)</f>
        <v>0</v>
      </c>
      <c r="N328" s="3">
        <f>SUBTOTAL(9,N327:N327)</f>
        <v>0</v>
      </c>
    </row>
    <row r="329" spans="1:16" outlineLevel="2">
      <c r="A329" s="2" t="s">
        <v>603</v>
      </c>
      <c r="B329" s="2" t="s">
        <v>604</v>
      </c>
      <c r="C329" s="2" t="s">
        <v>605</v>
      </c>
      <c r="D329" s="3">
        <v>-2126155921.8099999</v>
      </c>
      <c r="E329" s="2" t="s">
        <v>18</v>
      </c>
      <c r="F329" s="4" t="s">
        <v>19</v>
      </c>
      <c r="G329" s="5" t="s">
        <v>20</v>
      </c>
      <c r="H329" s="2" t="s">
        <v>21</v>
      </c>
      <c r="I329" s="2" t="s">
        <v>22</v>
      </c>
      <c r="J329" s="2" t="s">
        <v>23</v>
      </c>
      <c r="K329" s="3" t="s">
        <v>24</v>
      </c>
      <c r="L329" s="2" t="s">
        <v>25</v>
      </c>
      <c r="M329" s="3" t="s">
        <v>26</v>
      </c>
      <c r="N329" s="3" t="s">
        <v>26</v>
      </c>
      <c r="O329" s="3">
        <v>-2126155921.8099999</v>
      </c>
      <c r="P329" s="2" t="s">
        <v>27</v>
      </c>
    </row>
    <row r="330" spans="1:16" outlineLevel="1">
      <c r="A330" s="14" t="s">
        <v>995</v>
      </c>
      <c r="M330" s="3">
        <f>SUBTOTAL(9,M329:M329)</f>
        <v>0</v>
      </c>
      <c r="N330" s="3">
        <f>SUBTOTAL(9,N329:N329)</f>
        <v>0</v>
      </c>
    </row>
    <row r="331" spans="1:16" outlineLevel="2">
      <c r="A331" s="2" t="s">
        <v>606</v>
      </c>
      <c r="B331" s="2" t="s">
        <v>607</v>
      </c>
      <c r="C331" s="2" t="s">
        <v>608</v>
      </c>
      <c r="D331" s="3">
        <v>-101090877.25</v>
      </c>
      <c r="E331" s="2" t="s">
        <v>18</v>
      </c>
      <c r="F331" s="4" t="s">
        <v>19</v>
      </c>
      <c r="G331" s="5" t="s">
        <v>20</v>
      </c>
      <c r="H331" s="2" t="s">
        <v>21</v>
      </c>
      <c r="I331" s="2" t="s">
        <v>22</v>
      </c>
      <c r="J331" s="2" t="s">
        <v>23</v>
      </c>
      <c r="K331" s="3" t="s">
        <v>24</v>
      </c>
      <c r="L331" s="2" t="s">
        <v>25</v>
      </c>
      <c r="M331" s="3" t="s">
        <v>26</v>
      </c>
      <c r="N331" s="3" t="s">
        <v>26</v>
      </c>
      <c r="O331" s="3">
        <v>-101090877.25</v>
      </c>
      <c r="P331" s="2" t="s">
        <v>27</v>
      </c>
    </row>
    <row r="332" spans="1:16" outlineLevel="1">
      <c r="A332" s="14" t="s">
        <v>996</v>
      </c>
      <c r="M332" s="3">
        <f>SUBTOTAL(9,M331:M331)</f>
        <v>0</v>
      </c>
      <c r="N332" s="3">
        <f>SUBTOTAL(9,N331:N331)</f>
        <v>0</v>
      </c>
    </row>
    <row r="333" spans="1:16" outlineLevel="2">
      <c r="A333" s="2" t="s">
        <v>609</v>
      </c>
      <c r="B333" s="2" t="s">
        <v>610</v>
      </c>
      <c r="C333" s="2" t="s">
        <v>611</v>
      </c>
      <c r="D333" s="3">
        <v>-300000000</v>
      </c>
      <c r="E333" s="2" t="s">
        <v>18</v>
      </c>
      <c r="F333" s="4" t="s">
        <v>19</v>
      </c>
      <c r="G333" s="5" t="s">
        <v>20</v>
      </c>
      <c r="H333" s="2" t="s">
        <v>21</v>
      </c>
      <c r="I333" s="2" t="s">
        <v>22</v>
      </c>
      <c r="J333" s="2" t="s">
        <v>23</v>
      </c>
      <c r="K333" s="3" t="s">
        <v>24</v>
      </c>
      <c r="L333" s="2" t="s">
        <v>25</v>
      </c>
      <c r="M333" s="3" t="s">
        <v>26</v>
      </c>
      <c r="N333" s="3" t="s">
        <v>26</v>
      </c>
      <c r="O333" s="3">
        <v>-300000000</v>
      </c>
      <c r="P333" s="2" t="s">
        <v>27</v>
      </c>
    </row>
    <row r="334" spans="1:16" outlineLevel="1">
      <c r="A334" s="14" t="s">
        <v>997</v>
      </c>
      <c r="M334" s="3">
        <f>SUBTOTAL(9,M333:M333)</f>
        <v>0</v>
      </c>
      <c r="N334" s="3">
        <f>SUBTOTAL(9,N333:N333)</f>
        <v>0</v>
      </c>
    </row>
    <row r="335" spans="1:16" outlineLevel="2">
      <c r="A335" s="2" t="s">
        <v>612</v>
      </c>
      <c r="B335" s="2" t="s">
        <v>613</v>
      </c>
      <c r="C335" s="2" t="s">
        <v>614</v>
      </c>
      <c r="D335" s="3">
        <v>0</v>
      </c>
      <c r="E335" s="2" t="s">
        <v>37</v>
      </c>
      <c r="F335" s="4" t="s">
        <v>19</v>
      </c>
      <c r="G335" s="5">
        <v>0</v>
      </c>
      <c r="H335" s="2" t="s">
        <v>21</v>
      </c>
      <c r="I335" s="2" t="s">
        <v>22</v>
      </c>
      <c r="J335" s="2" t="s">
        <v>23</v>
      </c>
      <c r="K335" s="3" t="s">
        <v>24</v>
      </c>
      <c r="L335" s="2" t="s">
        <v>615</v>
      </c>
      <c r="M335" s="3">
        <v>0</v>
      </c>
      <c r="N335" s="3">
        <v>0</v>
      </c>
      <c r="O335" s="3">
        <v>0</v>
      </c>
      <c r="P335" s="2" t="s">
        <v>27</v>
      </c>
    </row>
    <row r="336" spans="1:16" outlineLevel="1">
      <c r="A336" s="14" t="s">
        <v>998</v>
      </c>
      <c r="M336" s="3">
        <f>SUBTOTAL(9,M335:M335)</f>
        <v>0</v>
      </c>
      <c r="N336" s="3">
        <f>SUBTOTAL(9,N335:N335)</f>
        <v>0</v>
      </c>
    </row>
    <row r="337" spans="1:16" outlineLevel="2">
      <c r="A337" s="2" t="s">
        <v>616</v>
      </c>
      <c r="B337" s="2" t="s">
        <v>617</v>
      </c>
      <c r="C337" s="2" t="s">
        <v>618</v>
      </c>
      <c r="D337" s="3">
        <v>-6960000</v>
      </c>
      <c r="E337" s="2" t="s">
        <v>18</v>
      </c>
      <c r="F337" s="4" t="s">
        <v>19</v>
      </c>
      <c r="G337" s="5" t="s">
        <v>20</v>
      </c>
      <c r="H337" s="2" t="s">
        <v>21</v>
      </c>
      <c r="I337" s="2" t="s">
        <v>22</v>
      </c>
      <c r="J337" s="2" t="s">
        <v>23</v>
      </c>
      <c r="K337" s="3" t="s">
        <v>24</v>
      </c>
      <c r="L337" s="2" t="s">
        <v>25</v>
      </c>
      <c r="M337" s="3" t="s">
        <v>26</v>
      </c>
      <c r="N337" s="3" t="s">
        <v>26</v>
      </c>
      <c r="O337" s="3">
        <v>-6960000</v>
      </c>
      <c r="P337" s="2" t="s">
        <v>27</v>
      </c>
    </row>
    <row r="338" spans="1:16" outlineLevel="1">
      <c r="A338" s="14" t="s">
        <v>999</v>
      </c>
      <c r="M338" s="3">
        <f>SUBTOTAL(9,M337:M337)</f>
        <v>0</v>
      </c>
      <c r="N338" s="3">
        <f>SUBTOTAL(9,N337:N337)</f>
        <v>0</v>
      </c>
    </row>
    <row r="339" spans="1:16" outlineLevel="2">
      <c r="A339" s="2" t="s">
        <v>619</v>
      </c>
      <c r="B339" s="2" t="s">
        <v>620</v>
      </c>
      <c r="C339" s="2" t="s">
        <v>621</v>
      </c>
      <c r="D339" s="3">
        <v>-337796.45</v>
      </c>
      <c r="E339" s="2" t="s">
        <v>622</v>
      </c>
      <c r="F339" s="4">
        <v>46204</v>
      </c>
      <c r="G339" s="5">
        <v>860068182</v>
      </c>
      <c r="H339" s="2" t="s">
        <v>121</v>
      </c>
      <c r="I339" s="2" t="s">
        <v>623</v>
      </c>
      <c r="J339" s="2" t="s">
        <v>23</v>
      </c>
      <c r="K339" s="3" t="s">
        <v>24</v>
      </c>
      <c r="L339" s="2" t="s">
        <v>624</v>
      </c>
      <c r="M339" s="3" t="s">
        <v>26</v>
      </c>
      <c r="N339" s="3">
        <v>54949.24</v>
      </c>
      <c r="O339" s="3">
        <v>-392745.69</v>
      </c>
      <c r="P339" s="2" t="s">
        <v>27</v>
      </c>
    </row>
    <row r="340" spans="1:16" outlineLevel="1">
      <c r="A340" s="14" t="s">
        <v>1000</v>
      </c>
      <c r="M340" s="3">
        <f>SUBTOTAL(9,M339:M339)</f>
        <v>0</v>
      </c>
      <c r="N340" s="3">
        <f>SUBTOTAL(9,N339:N339)</f>
        <v>54949.24</v>
      </c>
    </row>
    <row r="341" spans="1:16" outlineLevel="2">
      <c r="A341" s="2" t="s">
        <v>625</v>
      </c>
      <c r="B341" s="2" t="s">
        <v>626</v>
      </c>
      <c r="C341" s="2" t="s">
        <v>627</v>
      </c>
      <c r="D341" s="3">
        <v>2800000</v>
      </c>
      <c r="E341" s="2" t="s">
        <v>18</v>
      </c>
      <c r="F341" s="4" t="s">
        <v>19</v>
      </c>
      <c r="G341" s="5" t="s">
        <v>20</v>
      </c>
      <c r="H341" s="2" t="s">
        <v>21</v>
      </c>
      <c r="I341" s="2" t="s">
        <v>22</v>
      </c>
      <c r="J341" s="2" t="s">
        <v>23</v>
      </c>
      <c r="K341" s="3" t="s">
        <v>24</v>
      </c>
      <c r="L341" s="2" t="s">
        <v>25</v>
      </c>
      <c r="M341" s="3" t="s">
        <v>26</v>
      </c>
      <c r="N341" s="3" t="s">
        <v>26</v>
      </c>
      <c r="O341" s="3">
        <v>2800000</v>
      </c>
      <c r="P341" s="2" t="s">
        <v>27</v>
      </c>
    </row>
    <row r="342" spans="1:16" outlineLevel="1">
      <c r="A342" s="14" t="s">
        <v>1001</v>
      </c>
      <c r="M342" s="3">
        <f>SUBTOTAL(9,M341:M341)</f>
        <v>0</v>
      </c>
      <c r="N342" s="3">
        <f>SUBTOTAL(9,N341:N341)</f>
        <v>0</v>
      </c>
    </row>
    <row r="343" spans="1:16" outlineLevel="2">
      <c r="A343" s="2" t="s">
        <v>628</v>
      </c>
      <c r="B343" s="2" t="s">
        <v>629</v>
      </c>
      <c r="C343" s="2" t="s">
        <v>630</v>
      </c>
      <c r="D343" s="3">
        <v>10812000</v>
      </c>
      <c r="E343" s="2" t="s">
        <v>18</v>
      </c>
      <c r="F343" s="4" t="s">
        <v>19</v>
      </c>
      <c r="G343" s="5" t="s">
        <v>20</v>
      </c>
      <c r="H343" s="2" t="s">
        <v>21</v>
      </c>
      <c r="I343" s="2" t="s">
        <v>22</v>
      </c>
      <c r="J343" s="2" t="s">
        <v>23</v>
      </c>
      <c r="K343" s="3" t="s">
        <v>24</v>
      </c>
      <c r="L343" s="2" t="s">
        <v>25</v>
      </c>
      <c r="M343" s="3" t="s">
        <v>26</v>
      </c>
      <c r="N343" s="3" t="s">
        <v>26</v>
      </c>
      <c r="O343" s="3">
        <v>10812000</v>
      </c>
      <c r="P343" s="2" t="s">
        <v>27</v>
      </c>
    </row>
    <row r="344" spans="1:16" outlineLevel="1">
      <c r="A344" s="14" t="s">
        <v>1002</v>
      </c>
      <c r="M344" s="3">
        <f>SUBTOTAL(9,M343:M343)</f>
        <v>0</v>
      </c>
      <c r="N344" s="3">
        <f>SUBTOTAL(9,N343:N343)</f>
        <v>0</v>
      </c>
    </row>
    <row r="345" spans="1:16" outlineLevel="2">
      <c r="A345" s="2" t="s">
        <v>631</v>
      </c>
      <c r="B345" s="2" t="s">
        <v>632</v>
      </c>
      <c r="C345" s="2" t="s">
        <v>633</v>
      </c>
      <c r="D345" s="3">
        <v>1494570</v>
      </c>
      <c r="E345" s="2" t="s">
        <v>18</v>
      </c>
      <c r="F345" s="4" t="s">
        <v>19</v>
      </c>
      <c r="G345" s="5" t="s">
        <v>20</v>
      </c>
      <c r="H345" s="2" t="s">
        <v>21</v>
      </c>
      <c r="I345" s="2" t="s">
        <v>22</v>
      </c>
      <c r="J345" s="2" t="s">
        <v>23</v>
      </c>
      <c r="K345" s="3" t="s">
        <v>24</v>
      </c>
      <c r="L345" s="2" t="s">
        <v>25</v>
      </c>
      <c r="M345" s="3" t="s">
        <v>26</v>
      </c>
      <c r="N345" s="3" t="s">
        <v>26</v>
      </c>
      <c r="O345" s="3">
        <v>1494570</v>
      </c>
      <c r="P345" s="2" t="s">
        <v>27</v>
      </c>
    </row>
    <row r="346" spans="1:16" outlineLevel="1">
      <c r="A346" s="14" t="s">
        <v>1003</v>
      </c>
      <c r="M346" s="3">
        <f>SUBTOTAL(9,M345:M345)</f>
        <v>0</v>
      </c>
      <c r="N346" s="3">
        <f>SUBTOTAL(9,N345:N345)</f>
        <v>0</v>
      </c>
    </row>
    <row r="347" spans="1:16" outlineLevel="2">
      <c r="A347" s="2" t="s">
        <v>634</v>
      </c>
      <c r="B347" s="2" t="s">
        <v>635</v>
      </c>
      <c r="C347" s="2" t="s">
        <v>553</v>
      </c>
      <c r="D347" s="3">
        <v>1025547</v>
      </c>
      <c r="E347" s="2" t="s">
        <v>18</v>
      </c>
      <c r="F347" s="4" t="s">
        <v>19</v>
      </c>
      <c r="G347" s="5" t="s">
        <v>20</v>
      </c>
      <c r="H347" s="2" t="s">
        <v>21</v>
      </c>
      <c r="I347" s="2" t="s">
        <v>22</v>
      </c>
      <c r="J347" s="2" t="s">
        <v>23</v>
      </c>
      <c r="K347" s="3" t="s">
        <v>24</v>
      </c>
      <c r="L347" s="2" t="s">
        <v>25</v>
      </c>
      <c r="M347" s="3" t="s">
        <v>26</v>
      </c>
      <c r="N347" s="3" t="s">
        <v>26</v>
      </c>
      <c r="O347" s="3">
        <v>1025547</v>
      </c>
      <c r="P347" s="2" t="s">
        <v>27</v>
      </c>
    </row>
    <row r="348" spans="1:16" outlineLevel="1">
      <c r="A348" s="14" t="s">
        <v>1004</v>
      </c>
      <c r="M348" s="3">
        <f>SUBTOTAL(9,M347:M347)</f>
        <v>0</v>
      </c>
      <c r="N348" s="3">
        <f>SUBTOTAL(9,N347:N347)</f>
        <v>0</v>
      </c>
    </row>
    <row r="349" spans="1:16" outlineLevel="2">
      <c r="A349" s="2" t="s">
        <v>636</v>
      </c>
      <c r="B349" s="2" t="s">
        <v>637</v>
      </c>
      <c r="C349" s="2" t="s">
        <v>536</v>
      </c>
      <c r="D349" s="3">
        <v>61533</v>
      </c>
      <c r="E349" s="2" t="s">
        <v>18</v>
      </c>
      <c r="F349" s="4" t="s">
        <v>19</v>
      </c>
      <c r="G349" s="5" t="s">
        <v>20</v>
      </c>
      <c r="H349" s="2" t="s">
        <v>21</v>
      </c>
      <c r="I349" s="2" t="s">
        <v>22</v>
      </c>
      <c r="J349" s="2" t="s">
        <v>23</v>
      </c>
      <c r="K349" s="3" t="s">
        <v>24</v>
      </c>
      <c r="L349" s="2" t="s">
        <v>25</v>
      </c>
      <c r="M349" s="3" t="s">
        <v>26</v>
      </c>
      <c r="N349" s="3" t="s">
        <v>26</v>
      </c>
      <c r="O349" s="3">
        <v>61533</v>
      </c>
      <c r="P349" s="2" t="s">
        <v>27</v>
      </c>
    </row>
    <row r="350" spans="1:16" outlineLevel="1">
      <c r="A350" s="14" t="s">
        <v>1005</v>
      </c>
      <c r="M350" s="3">
        <f>SUBTOTAL(9,M349:M349)</f>
        <v>0</v>
      </c>
      <c r="N350" s="3">
        <f>SUBTOTAL(9,N349:N349)</f>
        <v>0</v>
      </c>
    </row>
    <row r="351" spans="1:16" outlineLevel="2">
      <c r="A351" s="2" t="s">
        <v>638</v>
      </c>
      <c r="B351" s="2" t="s">
        <v>639</v>
      </c>
      <c r="C351" s="2" t="s">
        <v>561</v>
      </c>
      <c r="D351" s="3">
        <v>1025547</v>
      </c>
      <c r="E351" s="2" t="s">
        <v>18</v>
      </c>
      <c r="F351" s="4" t="s">
        <v>19</v>
      </c>
      <c r="G351" s="5" t="s">
        <v>20</v>
      </c>
      <c r="H351" s="2" t="s">
        <v>21</v>
      </c>
      <c r="I351" s="2" t="s">
        <v>22</v>
      </c>
      <c r="J351" s="2" t="s">
        <v>23</v>
      </c>
      <c r="K351" s="3" t="s">
        <v>24</v>
      </c>
      <c r="L351" s="2" t="s">
        <v>25</v>
      </c>
      <c r="M351" s="3" t="s">
        <v>26</v>
      </c>
      <c r="N351" s="3" t="s">
        <v>26</v>
      </c>
      <c r="O351" s="3">
        <v>1025547</v>
      </c>
      <c r="P351" s="2" t="s">
        <v>27</v>
      </c>
    </row>
    <row r="352" spans="1:16" outlineLevel="1">
      <c r="A352" s="14" t="s">
        <v>1006</v>
      </c>
      <c r="M352" s="3">
        <f>SUBTOTAL(9,M351:M351)</f>
        <v>0</v>
      </c>
      <c r="N352" s="3">
        <f>SUBTOTAL(9,N351:N351)</f>
        <v>0</v>
      </c>
    </row>
    <row r="353" spans="1:16" outlineLevel="2">
      <c r="A353" s="2" t="s">
        <v>640</v>
      </c>
      <c r="B353" s="2" t="s">
        <v>641</v>
      </c>
      <c r="C353" s="2" t="s">
        <v>558</v>
      </c>
      <c r="D353" s="3">
        <v>450000</v>
      </c>
      <c r="E353" s="2" t="s">
        <v>18</v>
      </c>
      <c r="F353" s="4" t="s">
        <v>19</v>
      </c>
      <c r="G353" s="5" t="s">
        <v>20</v>
      </c>
      <c r="H353" s="2" t="s">
        <v>21</v>
      </c>
      <c r="I353" s="2" t="s">
        <v>22</v>
      </c>
      <c r="J353" s="2" t="s">
        <v>23</v>
      </c>
      <c r="K353" s="3" t="s">
        <v>24</v>
      </c>
      <c r="L353" s="2" t="s">
        <v>25</v>
      </c>
      <c r="M353" s="3" t="s">
        <v>26</v>
      </c>
      <c r="N353" s="3" t="s">
        <v>26</v>
      </c>
      <c r="O353" s="3">
        <v>450000</v>
      </c>
      <c r="P353" s="2" t="s">
        <v>27</v>
      </c>
    </row>
    <row r="354" spans="1:16" outlineLevel="1">
      <c r="A354" s="14" t="s">
        <v>1007</v>
      </c>
      <c r="M354" s="3">
        <f>SUBTOTAL(9,M353:M353)</f>
        <v>0</v>
      </c>
      <c r="N354" s="3">
        <f>SUBTOTAL(9,N353:N353)</f>
        <v>0</v>
      </c>
    </row>
    <row r="355" spans="1:16" outlineLevel="2">
      <c r="A355" s="2" t="s">
        <v>642</v>
      </c>
      <c r="B355" s="2" t="s">
        <v>643</v>
      </c>
      <c r="C355" s="2" t="s">
        <v>644</v>
      </c>
      <c r="D355" s="3">
        <v>753000</v>
      </c>
      <c r="E355" s="2" t="s">
        <v>18</v>
      </c>
      <c r="F355" s="4" t="s">
        <v>19</v>
      </c>
      <c r="G355" s="5" t="s">
        <v>20</v>
      </c>
      <c r="H355" s="2" t="s">
        <v>21</v>
      </c>
      <c r="I355" s="2" t="s">
        <v>22</v>
      </c>
      <c r="J355" s="2" t="s">
        <v>23</v>
      </c>
      <c r="K355" s="3" t="s">
        <v>24</v>
      </c>
      <c r="L355" s="2" t="s">
        <v>25</v>
      </c>
      <c r="M355" s="3" t="s">
        <v>26</v>
      </c>
      <c r="N355" s="3" t="s">
        <v>26</v>
      </c>
      <c r="O355" s="3">
        <v>753000</v>
      </c>
      <c r="P355" s="2" t="s">
        <v>27</v>
      </c>
    </row>
    <row r="356" spans="1:16" outlineLevel="1">
      <c r="A356" s="14" t="s">
        <v>1008</v>
      </c>
      <c r="M356" s="3">
        <f>SUBTOTAL(9,M355:M355)</f>
        <v>0</v>
      </c>
      <c r="N356" s="3">
        <f>SUBTOTAL(9,N355:N355)</f>
        <v>0</v>
      </c>
    </row>
    <row r="357" spans="1:16" outlineLevel="2">
      <c r="A357" s="2" t="s">
        <v>645</v>
      </c>
      <c r="B357" s="2" t="s">
        <v>646</v>
      </c>
      <c r="C357" s="2" t="s">
        <v>456</v>
      </c>
      <c r="D357" s="3">
        <v>60</v>
      </c>
      <c r="E357" s="2" t="s">
        <v>18</v>
      </c>
      <c r="F357" s="4" t="s">
        <v>19</v>
      </c>
      <c r="G357" s="5" t="s">
        <v>20</v>
      </c>
      <c r="H357" s="2" t="s">
        <v>21</v>
      </c>
      <c r="I357" s="2" t="s">
        <v>22</v>
      </c>
      <c r="J357" s="2" t="s">
        <v>23</v>
      </c>
      <c r="K357" s="3" t="s">
        <v>24</v>
      </c>
      <c r="L357" s="2" t="s">
        <v>25</v>
      </c>
      <c r="M357" s="3" t="s">
        <v>26</v>
      </c>
      <c r="N357" s="3" t="s">
        <v>26</v>
      </c>
      <c r="O357" s="3">
        <v>60</v>
      </c>
      <c r="P357" s="2" t="s">
        <v>27</v>
      </c>
    </row>
    <row r="358" spans="1:16" outlineLevel="1">
      <c r="A358" s="14" t="s">
        <v>1009</v>
      </c>
      <c r="M358" s="3">
        <f>SUBTOTAL(9,M357:M357)</f>
        <v>0</v>
      </c>
      <c r="N358" s="3">
        <f>SUBTOTAL(9,N357:N357)</f>
        <v>0</v>
      </c>
    </row>
    <row r="359" spans="1:16" outlineLevel="2">
      <c r="A359" s="2" t="s">
        <v>647</v>
      </c>
      <c r="B359" s="2" t="s">
        <v>648</v>
      </c>
      <c r="C359" s="2" t="s">
        <v>649</v>
      </c>
      <c r="D359" s="3">
        <v>5617860</v>
      </c>
      <c r="E359" s="2" t="s">
        <v>18</v>
      </c>
      <c r="F359" s="4" t="s">
        <v>19</v>
      </c>
      <c r="G359" s="5" t="s">
        <v>20</v>
      </c>
      <c r="H359" s="2" t="s">
        <v>21</v>
      </c>
      <c r="I359" s="2" t="s">
        <v>22</v>
      </c>
      <c r="J359" s="2" t="s">
        <v>23</v>
      </c>
      <c r="K359" s="3" t="s">
        <v>24</v>
      </c>
      <c r="L359" s="2" t="s">
        <v>25</v>
      </c>
      <c r="M359" s="3" t="s">
        <v>26</v>
      </c>
      <c r="N359" s="3" t="s">
        <v>26</v>
      </c>
      <c r="O359" s="3">
        <v>5617860</v>
      </c>
      <c r="P359" s="2" t="s">
        <v>27</v>
      </c>
    </row>
    <row r="360" spans="1:16" outlineLevel="1">
      <c r="A360" s="14" t="s">
        <v>1010</v>
      </c>
      <c r="M360" s="3">
        <f>SUBTOTAL(9,M359:M359)</f>
        <v>0</v>
      </c>
      <c r="N360" s="3">
        <f>SUBTOTAL(9,N359:N359)</f>
        <v>0</v>
      </c>
    </row>
    <row r="361" spans="1:16" outlineLevel="2">
      <c r="A361" s="2" t="s">
        <v>650</v>
      </c>
      <c r="B361" s="2" t="s">
        <v>651</v>
      </c>
      <c r="C361" s="2" t="s">
        <v>652</v>
      </c>
      <c r="D361" s="3">
        <v>432600</v>
      </c>
      <c r="E361" s="2" t="s">
        <v>18</v>
      </c>
      <c r="F361" s="4" t="s">
        <v>19</v>
      </c>
      <c r="G361" s="5" t="s">
        <v>20</v>
      </c>
      <c r="H361" s="2" t="s">
        <v>21</v>
      </c>
      <c r="I361" s="2" t="s">
        <v>22</v>
      </c>
      <c r="J361" s="2" t="s">
        <v>23</v>
      </c>
      <c r="K361" s="3" t="s">
        <v>24</v>
      </c>
      <c r="L361" s="2" t="s">
        <v>25</v>
      </c>
      <c r="M361" s="3" t="s">
        <v>26</v>
      </c>
      <c r="N361" s="3" t="s">
        <v>26</v>
      </c>
      <c r="O361" s="3">
        <v>432600</v>
      </c>
      <c r="P361" s="2" t="s">
        <v>27</v>
      </c>
    </row>
    <row r="362" spans="1:16" outlineLevel="1">
      <c r="A362" s="14" t="s">
        <v>1011</v>
      </c>
      <c r="M362" s="3">
        <f>SUBTOTAL(9,M361:M361)</f>
        <v>0</v>
      </c>
      <c r="N362" s="3">
        <f>SUBTOTAL(9,N361:N361)</f>
        <v>0</v>
      </c>
    </row>
    <row r="363" spans="1:16" outlineLevel="2">
      <c r="A363" s="2" t="s">
        <v>653</v>
      </c>
      <c r="B363" s="2" t="s">
        <v>654</v>
      </c>
      <c r="C363" s="2" t="s">
        <v>655</v>
      </c>
      <c r="D363" s="3">
        <v>3006780</v>
      </c>
      <c r="E363" s="2" t="s">
        <v>656</v>
      </c>
      <c r="F363" s="4">
        <v>46220</v>
      </c>
      <c r="G363" s="5">
        <v>901145581</v>
      </c>
      <c r="H363" s="2" t="s">
        <v>251</v>
      </c>
      <c r="I363" s="2" t="s">
        <v>373</v>
      </c>
      <c r="J363" s="2" t="s">
        <v>23</v>
      </c>
      <c r="K363" s="3" t="s">
        <v>24</v>
      </c>
      <c r="L363" s="2" t="s">
        <v>624</v>
      </c>
      <c r="M363" s="3">
        <v>301130</v>
      </c>
      <c r="N363" s="3" t="s">
        <v>26</v>
      </c>
      <c r="O363" s="3">
        <v>3307910</v>
      </c>
      <c r="P363" s="2" t="s">
        <v>27</v>
      </c>
    </row>
    <row r="364" spans="1:16" outlineLevel="1">
      <c r="A364" s="14" t="s">
        <v>1012</v>
      </c>
      <c r="M364" s="3">
        <f>SUBTOTAL(9,M363:M363)</f>
        <v>301130</v>
      </c>
      <c r="N364" s="3">
        <f>SUBTOTAL(9,N363:N363)</f>
        <v>0</v>
      </c>
    </row>
    <row r="365" spans="1:16" outlineLevel="2">
      <c r="A365" s="2" t="s">
        <v>657</v>
      </c>
      <c r="B365" s="2" t="s">
        <v>658</v>
      </c>
      <c r="C365" s="2" t="s">
        <v>659</v>
      </c>
      <c r="D365" s="3">
        <v>12076362</v>
      </c>
      <c r="E365" s="2" t="s">
        <v>660</v>
      </c>
      <c r="F365" s="4">
        <v>46224</v>
      </c>
      <c r="G365" s="5">
        <v>860507441</v>
      </c>
      <c r="H365" s="2" t="s">
        <v>261</v>
      </c>
      <c r="I365" s="2" t="s">
        <v>375</v>
      </c>
      <c r="J365" s="2" t="s">
        <v>23</v>
      </c>
      <c r="K365" s="3" t="s">
        <v>24</v>
      </c>
      <c r="L365" s="2" t="s">
        <v>624</v>
      </c>
      <c r="M365" s="3">
        <v>2012727</v>
      </c>
      <c r="N365" s="3" t="s">
        <v>26</v>
      </c>
      <c r="O365" s="3">
        <v>14089089</v>
      </c>
      <c r="P365" s="2" t="s">
        <v>27</v>
      </c>
    </row>
    <row r="366" spans="1:16" outlineLevel="1">
      <c r="A366" s="14" t="s">
        <v>1013</v>
      </c>
      <c r="M366" s="3">
        <f>SUBTOTAL(9,M365:M365)</f>
        <v>2012727</v>
      </c>
      <c r="N366" s="3">
        <f>SUBTOTAL(9,N365:N365)</f>
        <v>0</v>
      </c>
    </row>
    <row r="367" spans="1:16" outlineLevel="2">
      <c r="A367" s="2" t="s">
        <v>661</v>
      </c>
      <c r="B367" s="2" t="s">
        <v>662</v>
      </c>
      <c r="C367" s="2" t="s">
        <v>188</v>
      </c>
      <c r="D367" s="3">
        <v>2220000</v>
      </c>
      <c r="E367" s="2" t="s">
        <v>663</v>
      </c>
      <c r="F367" s="4">
        <v>46219</v>
      </c>
      <c r="G367" s="5">
        <v>901047340</v>
      </c>
      <c r="H367" s="2" t="s">
        <v>248</v>
      </c>
      <c r="I367" s="2" t="s">
        <v>371</v>
      </c>
      <c r="J367" s="2" t="s">
        <v>23</v>
      </c>
      <c r="K367" s="3" t="s">
        <v>24</v>
      </c>
      <c r="L367" s="2" t="s">
        <v>624</v>
      </c>
      <c r="M367" s="3">
        <v>370000</v>
      </c>
      <c r="N367" s="3" t="s">
        <v>26</v>
      </c>
      <c r="O367" s="3">
        <v>2590000</v>
      </c>
      <c r="P367" s="2" t="s">
        <v>27</v>
      </c>
    </row>
    <row r="368" spans="1:16" outlineLevel="1">
      <c r="A368" s="14" t="s">
        <v>1014</v>
      </c>
      <c r="M368" s="3">
        <f>SUBTOTAL(9,M367:M367)</f>
        <v>370000</v>
      </c>
      <c r="N368" s="3">
        <f>SUBTOTAL(9,N367:N367)</f>
        <v>0</v>
      </c>
    </row>
    <row r="369" spans="1:16" outlineLevel="2">
      <c r="A369" s="2" t="s">
        <v>664</v>
      </c>
      <c r="B369" s="2" t="s">
        <v>665</v>
      </c>
      <c r="C369" s="2" t="s">
        <v>666</v>
      </c>
      <c r="D369" s="3">
        <v>3000</v>
      </c>
      <c r="E369" s="2" t="s">
        <v>18</v>
      </c>
      <c r="F369" s="4" t="s">
        <v>19</v>
      </c>
      <c r="G369" s="5" t="s">
        <v>20</v>
      </c>
      <c r="H369" s="2" t="s">
        <v>21</v>
      </c>
      <c r="I369" s="2" t="s">
        <v>22</v>
      </c>
      <c r="J369" s="2" t="s">
        <v>23</v>
      </c>
      <c r="K369" s="3" t="s">
        <v>24</v>
      </c>
      <c r="L369" s="2" t="s">
        <v>25</v>
      </c>
      <c r="M369" s="3" t="s">
        <v>26</v>
      </c>
      <c r="N369" s="3" t="s">
        <v>26</v>
      </c>
      <c r="O369" s="3">
        <v>3000</v>
      </c>
      <c r="P369" s="2" t="s">
        <v>27</v>
      </c>
    </row>
    <row r="370" spans="1:16" outlineLevel="1">
      <c r="A370" s="14" t="s">
        <v>1015</v>
      </c>
      <c r="M370" s="3">
        <f>SUBTOTAL(9,M369:M369)</f>
        <v>0</v>
      </c>
      <c r="N370" s="3">
        <f>SUBTOTAL(9,N369:N369)</f>
        <v>0</v>
      </c>
    </row>
    <row r="371" spans="1:16" outlineLevel="2">
      <c r="A371" s="2" t="s">
        <v>667</v>
      </c>
      <c r="B371" s="2" t="s">
        <v>668</v>
      </c>
      <c r="C371" s="2" t="s">
        <v>669</v>
      </c>
      <c r="D371" s="3">
        <v>13871065</v>
      </c>
      <c r="E371" s="2" t="s">
        <v>18</v>
      </c>
      <c r="F371" s="4" t="s">
        <v>19</v>
      </c>
      <c r="G371" s="5" t="s">
        <v>20</v>
      </c>
      <c r="H371" s="2" t="s">
        <v>21</v>
      </c>
      <c r="I371" s="2" t="s">
        <v>22</v>
      </c>
      <c r="J371" s="2" t="s">
        <v>23</v>
      </c>
      <c r="K371" s="3" t="s">
        <v>24</v>
      </c>
      <c r="L371" s="2" t="s">
        <v>25</v>
      </c>
      <c r="M371" s="3" t="s">
        <v>26</v>
      </c>
      <c r="N371" s="3" t="s">
        <v>26</v>
      </c>
      <c r="O371" s="3">
        <v>13871065</v>
      </c>
      <c r="P371" s="2" t="s">
        <v>27</v>
      </c>
    </row>
    <row r="372" spans="1:16" outlineLevel="1">
      <c r="A372" s="14" t="s">
        <v>1016</v>
      </c>
      <c r="M372" s="3">
        <f>SUBTOTAL(9,M371:M371)</f>
        <v>0</v>
      </c>
      <c r="N372" s="3">
        <f>SUBTOTAL(9,N371:N371)</f>
        <v>0</v>
      </c>
    </row>
    <row r="373" spans="1:16" outlineLevel="2">
      <c r="A373" s="2" t="s">
        <v>670</v>
      </c>
      <c r="B373" s="2" t="s">
        <v>671</v>
      </c>
      <c r="C373" s="2" t="s">
        <v>672</v>
      </c>
      <c r="D373" s="3">
        <v>5234241.93</v>
      </c>
      <c r="E373" s="2" t="s">
        <v>18</v>
      </c>
      <c r="F373" s="4" t="s">
        <v>19</v>
      </c>
      <c r="G373" s="5" t="s">
        <v>20</v>
      </c>
      <c r="H373" s="2" t="s">
        <v>21</v>
      </c>
      <c r="I373" s="2" t="s">
        <v>22</v>
      </c>
      <c r="J373" s="2" t="s">
        <v>23</v>
      </c>
      <c r="K373" s="3" t="s">
        <v>24</v>
      </c>
      <c r="L373" s="2" t="s">
        <v>25</v>
      </c>
      <c r="M373" s="3" t="s">
        <v>26</v>
      </c>
      <c r="N373" s="3" t="s">
        <v>26</v>
      </c>
      <c r="O373" s="3">
        <v>5234241.93</v>
      </c>
      <c r="P373" s="2" t="s">
        <v>27</v>
      </c>
    </row>
    <row r="374" spans="1:16" outlineLevel="1">
      <c r="A374" s="14" t="s">
        <v>1017</v>
      </c>
      <c r="M374" s="3">
        <f>SUBTOTAL(9,M373:M373)</f>
        <v>0</v>
      </c>
      <c r="N374" s="3">
        <f>SUBTOTAL(9,N373:N373)</f>
        <v>0</v>
      </c>
    </row>
    <row r="375" spans="1:16" outlineLevel="2">
      <c r="A375" s="2" t="s">
        <v>673</v>
      </c>
      <c r="B375" s="2" t="s">
        <v>674</v>
      </c>
      <c r="C375" s="2" t="s">
        <v>517</v>
      </c>
      <c r="D375" s="3">
        <v>0</v>
      </c>
      <c r="E375" s="2" t="s">
        <v>37</v>
      </c>
      <c r="F375" s="4" t="s">
        <v>19</v>
      </c>
      <c r="G375" s="5">
        <v>0</v>
      </c>
      <c r="H375" s="2" t="s">
        <v>21</v>
      </c>
      <c r="I375" s="2" t="s">
        <v>22</v>
      </c>
      <c r="J375" s="2" t="s">
        <v>23</v>
      </c>
      <c r="K375" s="3" t="s">
        <v>24</v>
      </c>
      <c r="L375" s="2" t="s">
        <v>615</v>
      </c>
      <c r="M375" s="3">
        <v>0</v>
      </c>
      <c r="N375" s="3">
        <v>0</v>
      </c>
      <c r="O375" s="3">
        <v>0</v>
      </c>
      <c r="P375" s="2" t="s">
        <v>27</v>
      </c>
    </row>
    <row r="376" spans="1:16" outlineLevel="1">
      <c r="A376" s="14" t="s">
        <v>1018</v>
      </c>
      <c r="M376" s="3">
        <f>SUBTOTAL(9,M375:M375)</f>
        <v>0</v>
      </c>
      <c r="N376" s="3">
        <f>SUBTOTAL(9,N375:N375)</f>
        <v>0</v>
      </c>
    </row>
    <row r="377" spans="1:16" outlineLevel="2">
      <c r="A377" s="2" t="s">
        <v>675</v>
      </c>
      <c r="B377" s="2" t="s">
        <v>676</v>
      </c>
      <c r="C377" s="2" t="s">
        <v>677</v>
      </c>
      <c r="D377" s="3">
        <v>2635835.54</v>
      </c>
      <c r="E377" s="2" t="s">
        <v>18</v>
      </c>
      <c r="F377" s="4" t="s">
        <v>19</v>
      </c>
      <c r="G377" s="5" t="s">
        <v>20</v>
      </c>
      <c r="H377" s="2" t="s">
        <v>21</v>
      </c>
      <c r="I377" s="2" t="s">
        <v>22</v>
      </c>
      <c r="J377" s="2" t="s">
        <v>23</v>
      </c>
      <c r="K377" s="3" t="s">
        <v>24</v>
      </c>
      <c r="L377" s="2" t="s">
        <v>25</v>
      </c>
      <c r="M377" s="3" t="s">
        <v>26</v>
      </c>
      <c r="N377" s="3" t="s">
        <v>26</v>
      </c>
      <c r="O377" s="3">
        <v>2635835.54</v>
      </c>
      <c r="P377" s="2" t="s">
        <v>27</v>
      </c>
    </row>
    <row r="378" spans="1:16" outlineLevel="1">
      <c r="A378" s="14" t="s">
        <v>1019</v>
      </c>
      <c r="M378" s="3">
        <f>SUBTOTAL(9,M377:M377)</f>
        <v>0</v>
      </c>
      <c r="N378" s="3">
        <f>SUBTOTAL(9,N377:N377)</f>
        <v>0</v>
      </c>
    </row>
    <row r="379" spans="1:16" outlineLevel="2">
      <c r="A379" s="2" t="s">
        <v>678</v>
      </c>
      <c r="B379" s="2" t="s">
        <v>679</v>
      </c>
      <c r="C379" s="2" t="s">
        <v>680</v>
      </c>
      <c r="D379" s="3">
        <v>2635835.5099999998</v>
      </c>
      <c r="E379" s="2" t="s">
        <v>18</v>
      </c>
      <c r="F379" s="4" t="s">
        <v>19</v>
      </c>
      <c r="G379" s="5" t="s">
        <v>20</v>
      </c>
      <c r="H379" s="2" t="s">
        <v>21</v>
      </c>
      <c r="I379" s="2" t="s">
        <v>22</v>
      </c>
      <c r="J379" s="2" t="s">
        <v>23</v>
      </c>
      <c r="K379" s="3" t="s">
        <v>24</v>
      </c>
      <c r="L379" s="2" t="s">
        <v>25</v>
      </c>
      <c r="M379" s="3" t="s">
        <v>26</v>
      </c>
      <c r="N379" s="3" t="s">
        <v>26</v>
      </c>
      <c r="O379" s="3">
        <v>2635835.5099999998</v>
      </c>
      <c r="P379" s="2" t="s">
        <v>27</v>
      </c>
    </row>
    <row r="380" spans="1:16" outlineLevel="1">
      <c r="A380" s="14" t="s">
        <v>1020</v>
      </c>
      <c r="M380" s="3">
        <f>SUBTOTAL(9,M379:M379)</f>
        <v>0</v>
      </c>
      <c r="N380" s="3">
        <f>SUBTOTAL(9,N379:N379)</f>
        <v>0</v>
      </c>
    </row>
    <row r="381" spans="1:16" outlineLevel="2">
      <c r="A381" s="2" t="s">
        <v>681</v>
      </c>
      <c r="B381" s="2" t="s">
        <v>682</v>
      </c>
      <c r="C381" s="2" t="s">
        <v>188</v>
      </c>
      <c r="D381" s="3">
        <v>2291938</v>
      </c>
      <c r="E381" s="2" t="s">
        <v>18</v>
      </c>
      <c r="F381" s="4" t="s">
        <v>19</v>
      </c>
      <c r="G381" s="5" t="s">
        <v>20</v>
      </c>
      <c r="H381" s="2" t="s">
        <v>21</v>
      </c>
      <c r="I381" s="2" t="s">
        <v>22</v>
      </c>
      <c r="J381" s="2" t="s">
        <v>23</v>
      </c>
      <c r="K381" s="3" t="s">
        <v>24</v>
      </c>
      <c r="L381" s="2" t="s">
        <v>25</v>
      </c>
      <c r="M381" s="3" t="s">
        <v>26</v>
      </c>
      <c r="N381" s="3" t="s">
        <v>26</v>
      </c>
      <c r="O381" s="3">
        <v>2291938</v>
      </c>
      <c r="P381" s="2" t="s">
        <v>27</v>
      </c>
    </row>
    <row r="382" spans="1:16" outlineLevel="1">
      <c r="A382" s="14" t="s">
        <v>1021</v>
      </c>
      <c r="M382" s="3">
        <f>SUBTOTAL(9,M381:M381)</f>
        <v>0</v>
      </c>
      <c r="N382" s="3">
        <f>SUBTOTAL(9,N381:N381)</f>
        <v>0</v>
      </c>
    </row>
    <row r="383" spans="1:16" outlineLevel="2">
      <c r="A383" s="2" t="s">
        <v>683</v>
      </c>
      <c r="B383" s="2" t="s">
        <v>684</v>
      </c>
      <c r="C383" s="2" t="s">
        <v>685</v>
      </c>
      <c r="D383" s="3">
        <v>45784512.850000001</v>
      </c>
      <c r="E383" s="2" t="s">
        <v>18</v>
      </c>
      <c r="F383" s="4" t="s">
        <v>19</v>
      </c>
      <c r="G383" s="5" t="s">
        <v>20</v>
      </c>
      <c r="H383" s="2" t="s">
        <v>21</v>
      </c>
      <c r="I383" s="2" t="s">
        <v>22</v>
      </c>
      <c r="J383" s="2" t="s">
        <v>23</v>
      </c>
      <c r="K383" s="3" t="s">
        <v>24</v>
      </c>
      <c r="L383" s="2" t="s">
        <v>25</v>
      </c>
      <c r="M383" s="3" t="s">
        <v>26</v>
      </c>
      <c r="N383" s="3" t="s">
        <v>26</v>
      </c>
      <c r="O383" s="3">
        <v>45784512.850000001</v>
      </c>
      <c r="P383" s="2" t="s">
        <v>27</v>
      </c>
    </row>
    <row r="384" spans="1:16" outlineLevel="1">
      <c r="A384" s="14" t="s">
        <v>1022</v>
      </c>
      <c r="M384" s="3">
        <f>SUBTOTAL(9,M383:M383)</f>
        <v>0</v>
      </c>
      <c r="N384" s="3">
        <f>SUBTOTAL(9,N383:N383)</f>
        <v>0</v>
      </c>
    </row>
    <row r="385" spans="1:16" outlineLevel="2">
      <c r="A385" s="2" t="s">
        <v>686</v>
      </c>
      <c r="B385" s="2" t="s">
        <v>687</v>
      </c>
      <c r="C385" s="2" t="s">
        <v>688</v>
      </c>
      <c r="D385" s="3">
        <v>2100000</v>
      </c>
      <c r="E385" s="2" t="s">
        <v>18</v>
      </c>
      <c r="F385" s="4" t="s">
        <v>19</v>
      </c>
      <c r="G385" s="5" t="s">
        <v>20</v>
      </c>
      <c r="H385" s="2" t="s">
        <v>21</v>
      </c>
      <c r="I385" s="2" t="s">
        <v>22</v>
      </c>
      <c r="J385" s="2" t="s">
        <v>23</v>
      </c>
      <c r="K385" s="3" t="s">
        <v>24</v>
      </c>
      <c r="L385" s="2" t="s">
        <v>25</v>
      </c>
      <c r="M385" s="3" t="s">
        <v>26</v>
      </c>
      <c r="N385" s="3" t="s">
        <v>26</v>
      </c>
      <c r="O385" s="3">
        <v>2100000</v>
      </c>
      <c r="P385" s="2" t="s">
        <v>27</v>
      </c>
    </row>
    <row r="386" spans="1:16" outlineLevel="1">
      <c r="A386" s="14" t="s">
        <v>1023</v>
      </c>
      <c r="M386" s="3">
        <f>SUBTOTAL(9,M385:M385)</f>
        <v>0</v>
      </c>
      <c r="N386" s="3">
        <f>SUBTOTAL(9,N385:N385)</f>
        <v>0</v>
      </c>
    </row>
    <row r="387" spans="1:16" outlineLevel="2">
      <c r="A387" s="2" t="s">
        <v>689</v>
      </c>
      <c r="B387" s="2" t="s">
        <v>690</v>
      </c>
      <c r="C387" s="2" t="s">
        <v>691</v>
      </c>
      <c r="D387" s="3">
        <v>12532600</v>
      </c>
      <c r="E387" s="2" t="s">
        <v>18</v>
      </c>
      <c r="F387" s="4" t="s">
        <v>19</v>
      </c>
      <c r="G387" s="5" t="s">
        <v>20</v>
      </c>
      <c r="H387" s="2" t="s">
        <v>21</v>
      </c>
      <c r="I387" s="2" t="s">
        <v>22</v>
      </c>
      <c r="J387" s="2" t="s">
        <v>23</v>
      </c>
      <c r="K387" s="3" t="s">
        <v>24</v>
      </c>
      <c r="L387" s="2" t="s">
        <v>25</v>
      </c>
      <c r="M387" s="3" t="s">
        <v>26</v>
      </c>
      <c r="N387" s="3" t="s">
        <v>26</v>
      </c>
      <c r="O387" s="3">
        <v>12532600</v>
      </c>
      <c r="P387" s="2" t="s">
        <v>27</v>
      </c>
    </row>
    <row r="388" spans="1:16" outlineLevel="1">
      <c r="A388" s="14" t="s">
        <v>1024</v>
      </c>
      <c r="M388" s="3">
        <f>SUBTOTAL(9,M387:M387)</f>
        <v>0</v>
      </c>
      <c r="N388" s="3">
        <f>SUBTOTAL(9,N387:N387)</f>
        <v>0</v>
      </c>
    </row>
    <row r="389" spans="1:16" outlineLevel="2">
      <c r="A389" s="2" t="s">
        <v>692</v>
      </c>
      <c r="B389" s="2" t="s">
        <v>693</v>
      </c>
      <c r="C389" s="2" t="s">
        <v>188</v>
      </c>
      <c r="D389" s="3">
        <v>411208.64</v>
      </c>
      <c r="E389" s="2" t="s">
        <v>18</v>
      </c>
      <c r="F389" s="4" t="s">
        <v>19</v>
      </c>
      <c r="G389" s="5" t="s">
        <v>20</v>
      </c>
      <c r="H389" s="2" t="s">
        <v>21</v>
      </c>
      <c r="I389" s="2" t="s">
        <v>22</v>
      </c>
      <c r="J389" s="2" t="s">
        <v>23</v>
      </c>
      <c r="K389" s="3" t="s">
        <v>24</v>
      </c>
      <c r="L389" s="2" t="s">
        <v>25</v>
      </c>
      <c r="M389" s="3" t="s">
        <v>26</v>
      </c>
      <c r="N389" s="3" t="s">
        <v>26</v>
      </c>
      <c r="O389" s="3">
        <v>411208.64</v>
      </c>
      <c r="P389" s="2" t="s">
        <v>27</v>
      </c>
    </row>
    <row r="390" spans="1:16" outlineLevel="1">
      <c r="A390" s="14" t="s">
        <v>1025</v>
      </c>
      <c r="M390" s="3">
        <f>SUBTOTAL(9,M389:M389)</f>
        <v>0</v>
      </c>
      <c r="N390" s="3">
        <f>SUBTOTAL(9,N389:N389)</f>
        <v>0</v>
      </c>
    </row>
    <row r="391" spans="1:16" outlineLevel="2">
      <c r="A391" s="2" t="s">
        <v>694</v>
      </c>
      <c r="B391" s="2" t="s">
        <v>695</v>
      </c>
      <c r="C391" s="2" t="s">
        <v>126</v>
      </c>
      <c r="D391" s="3">
        <v>201519</v>
      </c>
      <c r="E391" s="2" t="s">
        <v>18</v>
      </c>
      <c r="F391" s="4" t="s">
        <v>19</v>
      </c>
      <c r="G391" s="5" t="s">
        <v>20</v>
      </c>
      <c r="H391" s="2" t="s">
        <v>21</v>
      </c>
      <c r="I391" s="2" t="s">
        <v>22</v>
      </c>
      <c r="J391" s="2" t="s">
        <v>23</v>
      </c>
      <c r="K391" s="3" t="s">
        <v>24</v>
      </c>
      <c r="L391" s="2" t="s">
        <v>25</v>
      </c>
      <c r="M391" s="3" t="s">
        <v>26</v>
      </c>
      <c r="N391" s="3" t="s">
        <v>26</v>
      </c>
      <c r="O391" s="3">
        <v>201519</v>
      </c>
      <c r="P391" s="2" t="s">
        <v>27</v>
      </c>
    </row>
    <row r="392" spans="1:16" outlineLevel="1">
      <c r="A392" s="14" t="s">
        <v>1026</v>
      </c>
      <c r="M392" s="3">
        <f>SUBTOTAL(9,M391:M391)</f>
        <v>0</v>
      </c>
      <c r="N392" s="3">
        <f>SUBTOTAL(9,N391:N391)</f>
        <v>0</v>
      </c>
    </row>
    <row r="393" spans="1:16" outlineLevel="2">
      <c r="A393" s="2" t="s">
        <v>696</v>
      </c>
      <c r="B393" s="2" t="s">
        <v>697</v>
      </c>
      <c r="C393" s="2" t="s">
        <v>698</v>
      </c>
      <c r="D393" s="3">
        <v>2800</v>
      </c>
      <c r="E393" s="2" t="s">
        <v>699</v>
      </c>
      <c r="F393" s="4">
        <v>46234</v>
      </c>
      <c r="G393" s="5">
        <v>890300279</v>
      </c>
      <c r="H393" s="2" t="s">
        <v>700</v>
      </c>
      <c r="I393" s="2" t="s">
        <v>701</v>
      </c>
      <c r="J393" s="2" t="s">
        <v>23</v>
      </c>
      <c r="K393" s="3" t="s">
        <v>24</v>
      </c>
      <c r="L393" s="2" t="s">
        <v>624</v>
      </c>
      <c r="M393" s="3">
        <v>2800</v>
      </c>
      <c r="N393" s="3" t="s">
        <v>26</v>
      </c>
      <c r="O393" s="3">
        <v>5600</v>
      </c>
      <c r="P393" s="2" t="s">
        <v>27</v>
      </c>
    </row>
    <row r="394" spans="1:16" outlineLevel="1">
      <c r="A394" s="14" t="s">
        <v>1027</v>
      </c>
      <c r="M394" s="3">
        <f>SUBTOTAL(9,M393:M393)</f>
        <v>2800</v>
      </c>
      <c r="N394" s="3">
        <f>SUBTOTAL(9,N393:N393)</f>
        <v>0</v>
      </c>
    </row>
    <row r="395" spans="1:16" outlineLevel="2">
      <c r="A395" s="2" t="s">
        <v>702</v>
      </c>
      <c r="B395" s="2" t="s">
        <v>703</v>
      </c>
      <c r="C395" s="2" t="s">
        <v>704</v>
      </c>
      <c r="D395" s="3">
        <v>618936.41</v>
      </c>
      <c r="E395" s="2" t="s">
        <v>18</v>
      </c>
      <c r="F395" s="4" t="s">
        <v>19</v>
      </c>
      <c r="G395" s="5" t="s">
        <v>20</v>
      </c>
      <c r="H395" s="2" t="s">
        <v>21</v>
      </c>
      <c r="I395" s="2" t="s">
        <v>22</v>
      </c>
      <c r="J395" s="2" t="s">
        <v>23</v>
      </c>
      <c r="K395" s="3" t="s">
        <v>24</v>
      </c>
      <c r="L395" s="2" t="s">
        <v>25</v>
      </c>
      <c r="M395" s="3" t="s">
        <v>26</v>
      </c>
      <c r="N395" s="3" t="s">
        <v>26</v>
      </c>
      <c r="O395" s="3">
        <v>618936.41</v>
      </c>
      <c r="P395" s="2" t="s">
        <v>27</v>
      </c>
    </row>
    <row r="396" spans="1:16" outlineLevel="1">
      <c r="A396" s="14" t="s">
        <v>1028</v>
      </c>
      <c r="M396" s="3">
        <f>SUBTOTAL(9,M395:M395)</f>
        <v>0</v>
      </c>
      <c r="N396" s="3">
        <f>SUBTOTAL(9,N395:N395)</f>
        <v>0</v>
      </c>
    </row>
    <row r="397" spans="1:16" outlineLevel="2">
      <c r="A397" s="2" t="s">
        <v>705</v>
      </c>
      <c r="B397" s="2" t="s">
        <v>706</v>
      </c>
      <c r="C397" s="2" t="s">
        <v>707</v>
      </c>
      <c r="D397" s="3">
        <v>90702755</v>
      </c>
      <c r="E397" s="2" t="s">
        <v>708</v>
      </c>
      <c r="F397" s="4">
        <v>46233</v>
      </c>
      <c r="G397" s="5">
        <v>900467239</v>
      </c>
      <c r="H397" s="2" t="s">
        <v>273</v>
      </c>
      <c r="I397" s="2" t="s">
        <v>274</v>
      </c>
      <c r="J397" s="2" t="s">
        <v>23</v>
      </c>
      <c r="K397" s="3" t="s">
        <v>24</v>
      </c>
      <c r="L397" s="2" t="s">
        <v>624</v>
      </c>
      <c r="M397" s="3">
        <v>3166871</v>
      </c>
      <c r="N397" s="3" t="s">
        <v>26</v>
      </c>
      <c r="O397" s="3">
        <v>93869626</v>
      </c>
      <c r="P397" s="2" t="s">
        <v>27</v>
      </c>
    </row>
    <row r="398" spans="1:16" outlineLevel="1">
      <c r="A398" s="14" t="s">
        <v>1029</v>
      </c>
      <c r="M398" s="3">
        <f>SUBTOTAL(9,M397:M397)</f>
        <v>3166871</v>
      </c>
      <c r="N398" s="3">
        <f>SUBTOTAL(9,N397:N397)</f>
        <v>0</v>
      </c>
    </row>
    <row r="399" spans="1:16" outlineLevel="2">
      <c r="A399" s="2" t="s">
        <v>709</v>
      </c>
      <c r="B399" s="2" t="s">
        <v>710</v>
      </c>
      <c r="C399" s="2" t="s">
        <v>711</v>
      </c>
      <c r="D399" s="3">
        <v>18694000</v>
      </c>
      <c r="E399" s="2" t="s">
        <v>18</v>
      </c>
      <c r="F399" s="4" t="s">
        <v>19</v>
      </c>
      <c r="G399" s="5" t="s">
        <v>20</v>
      </c>
      <c r="H399" s="2" t="s">
        <v>21</v>
      </c>
      <c r="I399" s="2" t="s">
        <v>22</v>
      </c>
      <c r="J399" s="2" t="s">
        <v>23</v>
      </c>
      <c r="K399" s="3" t="s">
        <v>24</v>
      </c>
      <c r="L399" s="2" t="s">
        <v>25</v>
      </c>
      <c r="M399" s="3" t="s">
        <v>26</v>
      </c>
      <c r="N399" s="3" t="s">
        <v>26</v>
      </c>
      <c r="O399" s="3">
        <v>18694000</v>
      </c>
      <c r="P399" s="2" t="s">
        <v>27</v>
      </c>
    </row>
    <row r="400" spans="1:16" outlineLevel="1">
      <c r="A400" s="14" t="s">
        <v>1030</v>
      </c>
      <c r="M400" s="3">
        <f>SUBTOTAL(9,M399:M399)</f>
        <v>0</v>
      </c>
      <c r="N400" s="3">
        <f>SUBTOTAL(9,N399:N399)</f>
        <v>0</v>
      </c>
    </row>
    <row r="401" spans="1:16" outlineLevel="2">
      <c r="A401" s="2" t="s">
        <v>712</v>
      </c>
      <c r="B401" s="2" t="s">
        <v>713</v>
      </c>
      <c r="C401" s="2" t="s">
        <v>714</v>
      </c>
      <c r="D401" s="3">
        <v>76980.58</v>
      </c>
      <c r="E401" s="2" t="s">
        <v>18</v>
      </c>
      <c r="F401" s="4" t="s">
        <v>19</v>
      </c>
      <c r="G401" s="5" t="s">
        <v>20</v>
      </c>
      <c r="H401" s="2" t="s">
        <v>21</v>
      </c>
      <c r="I401" s="2" t="s">
        <v>22</v>
      </c>
      <c r="J401" s="2" t="s">
        <v>23</v>
      </c>
      <c r="K401" s="3" t="s">
        <v>24</v>
      </c>
      <c r="L401" s="2" t="s">
        <v>25</v>
      </c>
      <c r="M401" s="3" t="s">
        <v>26</v>
      </c>
      <c r="N401" s="3" t="s">
        <v>26</v>
      </c>
      <c r="O401" s="3">
        <v>76980.58</v>
      </c>
      <c r="P401" s="2" t="s">
        <v>27</v>
      </c>
    </row>
    <row r="402" spans="1:16" outlineLevel="1">
      <c r="A402" s="14" t="s">
        <v>1031</v>
      </c>
      <c r="M402" s="3">
        <f>SUBTOTAL(9,M401:M401)</f>
        <v>0</v>
      </c>
      <c r="N402" s="3">
        <f>SUBTOTAL(9,N401:N401)</f>
        <v>0</v>
      </c>
    </row>
    <row r="403" spans="1:16" outlineLevel="2">
      <c r="A403" s="2" t="s">
        <v>715</v>
      </c>
      <c r="B403" s="2" t="s">
        <v>716</v>
      </c>
      <c r="C403" s="2" t="s">
        <v>717</v>
      </c>
      <c r="D403" s="3">
        <v>277366.84000000003</v>
      </c>
      <c r="E403" s="2" t="s">
        <v>718</v>
      </c>
      <c r="F403" s="4">
        <v>46234</v>
      </c>
      <c r="G403" s="5">
        <v>1065873176</v>
      </c>
      <c r="H403" s="2" t="s">
        <v>295</v>
      </c>
      <c r="I403" s="2" t="s">
        <v>296</v>
      </c>
      <c r="J403" s="2" t="s">
        <v>23</v>
      </c>
      <c r="K403" s="3" t="s">
        <v>24</v>
      </c>
      <c r="L403" s="2" t="s">
        <v>624</v>
      </c>
      <c r="M403" s="3">
        <v>6420</v>
      </c>
      <c r="N403" s="3" t="s">
        <v>26</v>
      </c>
      <c r="O403" s="3">
        <v>283786.84000000003</v>
      </c>
      <c r="P403" s="2" t="s">
        <v>27</v>
      </c>
    </row>
    <row r="404" spans="1:16" outlineLevel="2">
      <c r="A404" s="2" t="s">
        <v>715</v>
      </c>
      <c r="B404" s="2" t="s">
        <v>716</v>
      </c>
      <c r="C404" s="2" t="s">
        <v>717</v>
      </c>
      <c r="D404" s="3">
        <v>277366.84000000003</v>
      </c>
      <c r="E404" s="2" t="s">
        <v>719</v>
      </c>
      <c r="F404" s="4">
        <v>46234</v>
      </c>
      <c r="G404" s="5">
        <v>901919178</v>
      </c>
      <c r="H404" s="2" t="s">
        <v>210</v>
      </c>
      <c r="I404" s="2" t="s">
        <v>412</v>
      </c>
      <c r="J404" s="2" t="s">
        <v>23</v>
      </c>
      <c r="K404" s="3" t="s">
        <v>24</v>
      </c>
      <c r="L404" s="2" t="s">
        <v>624</v>
      </c>
      <c r="M404" s="3">
        <v>50</v>
      </c>
      <c r="N404" s="3" t="s">
        <v>26</v>
      </c>
      <c r="O404" s="3">
        <v>283836.84000000003</v>
      </c>
      <c r="P404" s="2" t="s">
        <v>27</v>
      </c>
    </row>
    <row r="405" spans="1:16" outlineLevel="2">
      <c r="A405" s="2" t="s">
        <v>715</v>
      </c>
      <c r="B405" s="2" t="s">
        <v>716</v>
      </c>
      <c r="C405" s="2" t="s">
        <v>717</v>
      </c>
      <c r="D405" s="3">
        <v>277366.84000000003</v>
      </c>
      <c r="E405" s="2" t="s">
        <v>720</v>
      </c>
      <c r="F405" s="4">
        <v>46234</v>
      </c>
      <c r="G405" s="5">
        <v>1067720548</v>
      </c>
      <c r="H405" s="2" t="s">
        <v>299</v>
      </c>
      <c r="I405" s="2" t="s">
        <v>300</v>
      </c>
      <c r="J405" s="2" t="s">
        <v>23</v>
      </c>
      <c r="K405" s="3" t="s">
        <v>24</v>
      </c>
      <c r="L405" s="2" t="s">
        <v>624</v>
      </c>
      <c r="M405" s="3">
        <v>16000</v>
      </c>
      <c r="N405" s="3" t="s">
        <v>26</v>
      </c>
      <c r="O405" s="3">
        <v>299836.84000000003</v>
      </c>
      <c r="P405" s="2" t="s">
        <v>27</v>
      </c>
    </row>
    <row r="406" spans="1:16" outlineLevel="2">
      <c r="A406" s="2" t="s">
        <v>715</v>
      </c>
      <c r="B406" s="2" t="s">
        <v>716</v>
      </c>
      <c r="C406" s="2" t="s">
        <v>717</v>
      </c>
      <c r="D406" s="3">
        <v>277366.84000000003</v>
      </c>
      <c r="E406" s="2" t="s">
        <v>721</v>
      </c>
      <c r="F406" s="4">
        <v>46234</v>
      </c>
      <c r="G406" s="5">
        <v>1067710598</v>
      </c>
      <c r="H406" s="2" t="s">
        <v>307</v>
      </c>
      <c r="I406" s="2" t="s">
        <v>308</v>
      </c>
      <c r="J406" s="2" t="s">
        <v>23</v>
      </c>
      <c r="K406" s="3" t="s">
        <v>24</v>
      </c>
      <c r="L406" s="2" t="s">
        <v>624</v>
      </c>
      <c r="M406" s="3">
        <v>48000</v>
      </c>
      <c r="N406" s="3" t="s">
        <v>26</v>
      </c>
      <c r="O406" s="3">
        <v>347836.84</v>
      </c>
      <c r="P406" s="2" t="s">
        <v>27</v>
      </c>
    </row>
    <row r="407" spans="1:16" outlineLevel="2">
      <c r="A407" s="2" t="s">
        <v>715</v>
      </c>
      <c r="B407" s="2" t="s">
        <v>716</v>
      </c>
      <c r="C407" s="2" t="s">
        <v>717</v>
      </c>
      <c r="D407" s="3">
        <v>277366.84000000003</v>
      </c>
      <c r="E407" s="2" t="s">
        <v>722</v>
      </c>
      <c r="F407" s="4">
        <v>46234</v>
      </c>
      <c r="G407" s="5">
        <v>901225413</v>
      </c>
      <c r="H407" s="2" t="s">
        <v>383</v>
      </c>
      <c r="I407" s="2" t="s">
        <v>384</v>
      </c>
      <c r="J407" s="2" t="s">
        <v>23</v>
      </c>
      <c r="K407" s="3" t="s">
        <v>24</v>
      </c>
      <c r="L407" s="2" t="s">
        <v>624</v>
      </c>
      <c r="M407" s="3">
        <v>5800</v>
      </c>
      <c r="N407" s="3" t="s">
        <v>26</v>
      </c>
      <c r="O407" s="3">
        <v>353636.84</v>
      </c>
      <c r="P407" s="2" t="s">
        <v>27</v>
      </c>
    </row>
    <row r="408" spans="1:16" outlineLevel="2">
      <c r="A408" s="2" t="s">
        <v>715</v>
      </c>
      <c r="B408" s="2" t="s">
        <v>716</v>
      </c>
      <c r="C408" s="2" t="s">
        <v>717</v>
      </c>
      <c r="D408" s="3">
        <v>277366.84000000003</v>
      </c>
      <c r="E408" s="2" t="s">
        <v>723</v>
      </c>
      <c r="F408" s="4">
        <v>46234</v>
      </c>
      <c r="G408" s="5">
        <v>1064119619</v>
      </c>
      <c r="H408" s="2" t="s">
        <v>311</v>
      </c>
      <c r="I408" s="2" t="s">
        <v>312</v>
      </c>
      <c r="J408" s="2" t="s">
        <v>23</v>
      </c>
      <c r="K408" s="3" t="s">
        <v>24</v>
      </c>
      <c r="L408" s="2" t="s">
        <v>624</v>
      </c>
      <c r="M408" s="3">
        <v>14400</v>
      </c>
      <c r="N408" s="3" t="s">
        <v>26</v>
      </c>
      <c r="O408" s="3">
        <v>368036.84</v>
      </c>
      <c r="P408" s="2" t="s">
        <v>27</v>
      </c>
    </row>
    <row r="409" spans="1:16" outlineLevel="2">
      <c r="A409" s="2" t="s">
        <v>715</v>
      </c>
      <c r="B409" s="2" t="s">
        <v>716</v>
      </c>
      <c r="C409" s="2" t="s">
        <v>717</v>
      </c>
      <c r="D409" s="3">
        <v>277366.84000000003</v>
      </c>
      <c r="E409" s="2" t="s">
        <v>724</v>
      </c>
      <c r="F409" s="4">
        <v>46234</v>
      </c>
      <c r="G409" s="5">
        <v>1064119619</v>
      </c>
      <c r="H409" s="2" t="s">
        <v>311</v>
      </c>
      <c r="I409" s="2" t="s">
        <v>312</v>
      </c>
      <c r="J409" s="2" t="s">
        <v>23</v>
      </c>
      <c r="K409" s="3" t="s">
        <v>24</v>
      </c>
      <c r="L409" s="2" t="s">
        <v>624</v>
      </c>
      <c r="M409" s="3">
        <v>3900</v>
      </c>
      <c r="N409" s="3" t="s">
        <v>26</v>
      </c>
      <c r="O409" s="3">
        <v>371936.84</v>
      </c>
      <c r="P409" s="2" t="s">
        <v>27</v>
      </c>
    </row>
    <row r="410" spans="1:16" outlineLevel="1">
      <c r="A410" s="14" t="s">
        <v>1032</v>
      </c>
      <c r="M410" s="3">
        <f>SUBTOTAL(9,M403:M409)</f>
        <v>94570</v>
      </c>
      <c r="N410" s="3">
        <f>SUBTOTAL(9,N403:N409)</f>
        <v>0</v>
      </c>
    </row>
    <row r="411" spans="1:16" outlineLevel="2">
      <c r="A411" s="2" t="s">
        <v>725</v>
      </c>
      <c r="B411" s="2" t="s">
        <v>726</v>
      </c>
      <c r="C411" s="2" t="s">
        <v>727</v>
      </c>
      <c r="D411" s="3">
        <v>25805.5</v>
      </c>
      <c r="E411" s="2" t="s">
        <v>728</v>
      </c>
      <c r="F411" s="4">
        <v>46234</v>
      </c>
      <c r="G411" s="5">
        <v>1065873176</v>
      </c>
      <c r="H411" s="2" t="s">
        <v>295</v>
      </c>
      <c r="I411" s="2" t="s">
        <v>296</v>
      </c>
      <c r="J411" s="2" t="s">
        <v>23</v>
      </c>
      <c r="K411" s="3" t="s">
        <v>24</v>
      </c>
      <c r="L411" s="2" t="s">
        <v>624</v>
      </c>
      <c r="M411" s="3">
        <v>1070</v>
      </c>
      <c r="N411" s="3" t="s">
        <v>26</v>
      </c>
      <c r="O411" s="3">
        <v>26875.5</v>
      </c>
      <c r="P411" s="2" t="s">
        <v>27</v>
      </c>
    </row>
    <row r="412" spans="1:16" outlineLevel="2">
      <c r="A412" s="2" t="s">
        <v>725</v>
      </c>
      <c r="B412" s="2" t="s">
        <v>726</v>
      </c>
      <c r="C412" s="2" t="s">
        <v>727</v>
      </c>
      <c r="D412" s="3">
        <v>25805.5</v>
      </c>
      <c r="E412" s="2" t="s">
        <v>729</v>
      </c>
      <c r="F412" s="4">
        <v>46234</v>
      </c>
      <c r="G412" s="5">
        <v>1067720548</v>
      </c>
      <c r="H412" s="2" t="s">
        <v>299</v>
      </c>
      <c r="I412" s="2" t="s">
        <v>300</v>
      </c>
      <c r="J412" s="2" t="s">
        <v>23</v>
      </c>
      <c r="K412" s="3" t="s">
        <v>24</v>
      </c>
      <c r="L412" s="2" t="s">
        <v>624</v>
      </c>
      <c r="M412" s="3">
        <v>4000</v>
      </c>
      <c r="N412" s="3" t="s">
        <v>26</v>
      </c>
      <c r="O412" s="3">
        <v>30875.5</v>
      </c>
      <c r="P412" s="2" t="s">
        <v>27</v>
      </c>
    </row>
    <row r="413" spans="1:16" outlineLevel="2">
      <c r="A413" s="2" t="s">
        <v>725</v>
      </c>
      <c r="B413" s="2" t="s">
        <v>726</v>
      </c>
      <c r="C413" s="2" t="s">
        <v>727</v>
      </c>
      <c r="D413" s="3">
        <v>25805.5</v>
      </c>
      <c r="E413" s="2" t="s">
        <v>730</v>
      </c>
      <c r="F413" s="4">
        <v>46234</v>
      </c>
      <c r="G413" s="5">
        <v>1067710598</v>
      </c>
      <c r="H413" s="2" t="s">
        <v>307</v>
      </c>
      <c r="I413" s="2" t="s">
        <v>308</v>
      </c>
      <c r="J413" s="2" t="s">
        <v>23</v>
      </c>
      <c r="K413" s="3" t="s">
        <v>24</v>
      </c>
      <c r="L413" s="2" t="s">
        <v>624</v>
      </c>
      <c r="M413" s="3">
        <v>12000</v>
      </c>
      <c r="N413" s="3" t="s">
        <v>26</v>
      </c>
      <c r="O413" s="3">
        <v>42875.5</v>
      </c>
      <c r="P413" s="2" t="s">
        <v>27</v>
      </c>
    </row>
    <row r="414" spans="1:16" outlineLevel="2">
      <c r="A414" s="2" t="s">
        <v>725</v>
      </c>
      <c r="B414" s="2" t="s">
        <v>726</v>
      </c>
      <c r="C414" s="2" t="s">
        <v>727</v>
      </c>
      <c r="D414" s="3">
        <v>25805.5</v>
      </c>
      <c r="E414" s="2" t="s">
        <v>731</v>
      </c>
      <c r="F414" s="4">
        <v>46234</v>
      </c>
      <c r="G414" s="5">
        <v>901225413</v>
      </c>
      <c r="H414" s="2" t="s">
        <v>383</v>
      </c>
      <c r="I414" s="2" t="s">
        <v>384</v>
      </c>
      <c r="J414" s="2" t="s">
        <v>23</v>
      </c>
      <c r="K414" s="3" t="s">
        <v>24</v>
      </c>
      <c r="L414" s="2" t="s">
        <v>624</v>
      </c>
      <c r="M414" s="3">
        <v>1450</v>
      </c>
      <c r="N414" s="3" t="s">
        <v>26</v>
      </c>
      <c r="O414" s="3">
        <v>44325.5</v>
      </c>
      <c r="P414" s="2" t="s">
        <v>27</v>
      </c>
    </row>
    <row r="415" spans="1:16" outlineLevel="1">
      <c r="A415" s="14" t="s">
        <v>1033</v>
      </c>
      <c r="M415" s="3">
        <f>SUBTOTAL(9,M411:M414)</f>
        <v>18520</v>
      </c>
      <c r="N415" s="3">
        <f>SUBTOTAL(9,N411:N414)</f>
        <v>0</v>
      </c>
    </row>
    <row r="416" spans="1:16" outlineLevel="2">
      <c r="A416" s="2" t="s">
        <v>732</v>
      </c>
      <c r="B416" s="2" t="s">
        <v>733</v>
      </c>
      <c r="C416" s="2" t="s">
        <v>734</v>
      </c>
      <c r="D416" s="3">
        <v>19.420000000000002</v>
      </c>
      <c r="E416" s="2" t="s">
        <v>18</v>
      </c>
      <c r="F416" s="4" t="s">
        <v>19</v>
      </c>
      <c r="G416" s="5" t="s">
        <v>20</v>
      </c>
      <c r="H416" s="2" t="s">
        <v>21</v>
      </c>
      <c r="I416" s="2" t="s">
        <v>22</v>
      </c>
      <c r="J416" s="2" t="s">
        <v>23</v>
      </c>
      <c r="K416" s="3" t="s">
        <v>24</v>
      </c>
      <c r="L416" s="2" t="s">
        <v>25</v>
      </c>
      <c r="M416" s="3" t="s">
        <v>26</v>
      </c>
      <c r="N416" s="3" t="s">
        <v>26</v>
      </c>
      <c r="O416" s="3">
        <v>19.420000000000002</v>
      </c>
      <c r="P416" s="2" t="s">
        <v>27</v>
      </c>
    </row>
    <row r="417" spans="1:16" outlineLevel="1">
      <c r="A417" s="14" t="s">
        <v>1034</v>
      </c>
      <c r="M417" s="3">
        <f>SUBTOTAL(9,M416:M416)</f>
        <v>0</v>
      </c>
      <c r="N417" s="3">
        <f>SUBTOTAL(9,N416:N416)</f>
        <v>0</v>
      </c>
    </row>
    <row r="418" spans="1:16" outlineLevel="2">
      <c r="A418" s="2" t="s">
        <v>735</v>
      </c>
      <c r="B418" s="2" t="s">
        <v>736</v>
      </c>
      <c r="C418" s="2" t="s">
        <v>737</v>
      </c>
      <c r="D418" s="3">
        <v>621</v>
      </c>
      <c r="E418" s="2" t="s">
        <v>18</v>
      </c>
      <c r="F418" s="4" t="s">
        <v>19</v>
      </c>
      <c r="G418" s="5" t="s">
        <v>20</v>
      </c>
      <c r="H418" s="2" t="s">
        <v>21</v>
      </c>
      <c r="I418" s="2" t="s">
        <v>22</v>
      </c>
      <c r="J418" s="2" t="s">
        <v>23</v>
      </c>
      <c r="K418" s="3" t="s">
        <v>24</v>
      </c>
      <c r="L418" s="2" t="s">
        <v>25</v>
      </c>
      <c r="M418" s="3" t="s">
        <v>26</v>
      </c>
      <c r="N418" s="3" t="s">
        <v>26</v>
      </c>
      <c r="O418" s="3">
        <v>621</v>
      </c>
      <c r="P418" s="2" t="s">
        <v>27</v>
      </c>
    </row>
    <row r="419" spans="1:16" outlineLevel="1">
      <c r="A419" s="14" t="s">
        <v>1035</v>
      </c>
      <c r="M419" s="3">
        <f>SUBTOTAL(9,M418:M418)</f>
        <v>0</v>
      </c>
      <c r="N419" s="3">
        <f>SUBTOTAL(9,N418:N418)</f>
        <v>0</v>
      </c>
    </row>
    <row r="420" spans="1:16" outlineLevel="2">
      <c r="A420" s="2" t="s">
        <v>738</v>
      </c>
      <c r="B420" s="2" t="s">
        <v>739</v>
      </c>
      <c r="C420" s="2" t="s">
        <v>188</v>
      </c>
      <c r="D420" s="3">
        <v>1375849</v>
      </c>
      <c r="E420" s="2" t="s">
        <v>740</v>
      </c>
      <c r="F420" s="4">
        <v>46234</v>
      </c>
      <c r="G420" s="5">
        <v>901450917</v>
      </c>
      <c r="H420" s="2" t="s">
        <v>741</v>
      </c>
      <c r="I420" s="2" t="s">
        <v>742</v>
      </c>
      <c r="J420" s="2" t="s">
        <v>23</v>
      </c>
      <c r="K420" s="3" t="s">
        <v>24</v>
      </c>
      <c r="L420" s="2" t="s">
        <v>25</v>
      </c>
      <c r="M420" s="3">
        <v>5000</v>
      </c>
      <c r="N420" s="3" t="s">
        <v>26</v>
      </c>
      <c r="O420" s="3">
        <v>1380849</v>
      </c>
      <c r="P420" s="2" t="s">
        <v>27</v>
      </c>
    </row>
    <row r="421" spans="1:16" outlineLevel="2">
      <c r="A421" s="2" t="s">
        <v>738</v>
      </c>
      <c r="B421" s="2" t="s">
        <v>739</v>
      </c>
      <c r="C421" s="2" t="s">
        <v>188</v>
      </c>
      <c r="D421" s="3">
        <v>1375849</v>
      </c>
      <c r="E421" s="2" t="s">
        <v>743</v>
      </c>
      <c r="F421" s="4">
        <v>46234</v>
      </c>
      <c r="G421" s="5">
        <v>890100531</v>
      </c>
      <c r="H421" s="2" t="s">
        <v>744</v>
      </c>
      <c r="I421" s="2" t="s">
        <v>745</v>
      </c>
      <c r="J421" s="2" t="s">
        <v>23</v>
      </c>
      <c r="K421" s="3" t="s">
        <v>24</v>
      </c>
      <c r="L421" s="2" t="s">
        <v>25</v>
      </c>
      <c r="M421" s="3">
        <v>24800</v>
      </c>
      <c r="N421" s="3" t="s">
        <v>26</v>
      </c>
      <c r="O421" s="3">
        <v>1405649</v>
      </c>
      <c r="P421" s="2" t="s">
        <v>27</v>
      </c>
    </row>
    <row r="422" spans="1:16" outlineLevel="2">
      <c r="A422" s="2" t="s">
        <v>738</v>
      </c>
      <c r="B422" s="2" t="s">
        <v>739</v>
      </c>
      <c r="C422" s="2" t="s">
        <v>188</v>
      </c>
      <c r="D422" s="3">
        <v>1375849</v>
      </c>
      <c r="E422" s="2" t="s">
        <v>746</v>
      </c>
      <c r="F422" s="4">
        <v>46234</v>
      </c>
      <c r="G422" s="5">
        <v>900276962</v>
      </c>
      <c r="H422" s="2" t="s">
        <v>747</v>
      </c>
      <c r="I422" s="2" t="s">
        <v>748</v>
      </c>
      <c r="J422" s="2" t="s">
        <v>23</v>
      </c>
      <c r="K422" s="3" t="s">
        <v>24</v>
      </c>
      <c r="L422" s="2" t="s">
        <v>25</v>
      </c>
      <c r="M422" s="3">
        <v>3100</v>
      </c>
      <c r="N422" s="3" t="s">
        <v>26</v>
      </c>
      <c r="O422" s="3">
        <v>1408749</v>
      </c>
      <c r="P422" s="2" t="s">
        <v>27</v>
      </c>
    </row>
    <row r="423" spans="1:16" outlineLevel="2">
      <c r="A423" s="2" t="s">
        <v>738</v>
      </c>
      <c r="B423" s="2" t="s">
        <v>739</v>
      </c>
      <c r="C423" s="2" t="s">
        <v>188</v>
      </c>
      <c r="D423" s="3">
        <v>1375849</v>
      </c>
      <c r="E423" s="2" t="s">
        <v>749</v>
      </c>
      <c r="F423" s="4">
        <v>46234</v>
      </c>
      <c r="G423" s="5">
        <v>890100531</v>
      </c>
      <c r="H423" s="2" t="s">
        <v>744</v>
      </c>
      <c r="I423" s="2" t="s">
        <v>750</v>
      </c>
      <c r="J423" s="2" t="s">
        <v>23</v>
      </c>
      <c r="K423" s="3" t="s">
        <v>24</v>
      </c>
      <c r="L423" s="2" t="s">
        <v>25</v>
      </c>
      <c r="M423" s="3">
        <v>69600</v>
      </c>
      <c r="N423" s="3" t="s">
        <v>26</v>
      </c>
      <c r="O423" s="3">
        <v>1478349</v>
      </c>
      <c r="P423" s="2" t="s">
        <v>27</v>
      </c>
    </row>
    <row r="424" spans="1:16" outlineLevel="1">
      <c r="A424" s="14" t="s">
        <v>1036</v>
      </c>
      <c r="M424" s="3">
        <f>SUBTOTAL(9,M420:M423)</f>
        <v>102500</v>
      </c>
      <c r="N424" s="3">
        <f>SUBTOTAL(9,N420:N423)</f>
        <v>0</v>
      </c>
    </row>
    <row r="425" spans="1:16" outlineLevel="2">
      <c r="A425" s="2" t="s">
        <v>751</v>
      </c>
      <c r="B425" s="2" t="s">
        <v>752</v>
      </c>
      <c r="C425" s="2" t="s">
        <v>753</v>
      </c>
      <c r="D425" s="3">
        <v>0</v>
      </c>
      <c r="E425" s="2" t="s">
        <v>37</v>
      </c>
      <c r="F425" s="4" t="s">
        <v>19</v>
      </c>
      <c r="G425" s="5">
        <v>0</v>
      </c>
      <c r="H425" s="2" t="s">
        <v>21</v>
      </c>
      <c r="I425" s="2" t="s">
        <v>22</v>
      </c>
      <c r="J425" s="2" t="s">
        <v>23</v>
      </c>
      <c r="K425" s="3" t="s">
        <v>24</v>
      </c>
      <c r="L425" s="2" t="s">
        <v>615</v>
      </c>
      <c r="M425" s="3">
        <v>0</v>
      </c>
      <c r="N425" s="3">
        <v>0</v>
      </c>
      <c r="O425" s="3">
        <v>0</v>
      </c>
      <c r="P425" s="2" t="s">
        <v>27</v>
      </c>
    </row>
    <row r="426" spans="1:16" outlineLevel="1">
      <c r="A426" s="14" t="s">
        <v>1037</v>
      </c>
      <c r="M426" s="3">
        <f>SUBTOTAL(9,M425:M425)</f>
        <v>0</v>
      </c>
      <c r="N426" s="3">
        <f>SUBTOTAL(9,N425:N425)</f>
        <v>0</v>
      </c>
    </row>
    <row r="427" spans="1:16" outlineLevel="2">
      <c r="A427" s="2" t="s">
        <v>754</v>
      </c>
      <c r="B427" s="2" t="s">
        <v>755</v>
      </c>
      <c r="C427" s="2" t="s">
        <v>756</v>
      </c>
      <c r="D427" s="3">
        <v>0</v>
      </c>
      <c r="E427" s="2" t="s">
        <v>37</v>
      </c>
      <c r="F427" s="4" t="s">
        <v>19</v>
      </c>
      <c r="G427" s="5">
        <v>0</v>
      </c>
      <c r="H427" s="2" t="s">
        <v>21</v>
      </c>
      <c r="I427" s="2" t="s">
        <v>22</v>
      </c>
      <c r="J427" s="2" t="s">
        <v>23</v>
      </c>
      <c r="K427" s="3" t="s">
        <v>24</v>
      </c>
      <c r="L427" s="2" t="s">
        <v>25</v>
      </c>
      <c r="M427" s="3">
        <v>0</v>
      </c>
      <c r="N427" s="3">
        <v>0</v>
      </c>
      <c r="O427" s="3">
        <v>0</v>
      </c>
      <c r="P427" s="2" t="s">
        <v>27</v>
      </c>
    </row>
    <row r="428" spans="1:16" outlineLevel="1">
      <c r="A428" s="14" t="s">
        <v>1038</v>
      </c>
      <c r="M428" s="3">
        <f>SUBTOTAL(9,M427:M427)</f>
        <v>0</v>
      </c>
      <c r="N428" s="3">
        <f>SUBTOTAL(9,N427:N427)</f>
        <v>0</v>
      </c>
    </row>
    <row r="429" spans="1:16" outlineLevel="2">
      <c r="A429" s="2" t="s">
        <v>757</v>
      </c>
      <c r="B429" s="2" t="s">
        <v>758</v>
      </c>
      <c r="C429" s="2" t="s">
        <v>630</v>
      </c>
      <c r="D429" s="3">
        <v>72000000</v>
      </c>
      <c r="E429" s="2" t="s">
        <v>18</v>
      </c>
      <c r="F429" s="4" t="s">
        <v>19</v>
      </c>
      <c r="G429" s="5" t="s">
        <v>20</v>
      </c>
      <c r="H429" s="2" t="s">
        <v>21</v>
      </c>
      <c r="I429" s="2" t="s">
        <v>22</v>
      </c>
      <c r="J429" s="2" t="s">
        <v>23</v>
      </c>
      <c r="K429" s="3" t="s">
        <v>24</v>
      </c>
      <c r="L429" s="2" t="s">
        <v>25</v>
      </c>
      <c r="M429" s="3" t="s">
        <v>26</v>
      </c>
      <c r="N429" s="3" t="s">
        <v>26</v>
      </c>
      <c r="O429" s="3">
        <v>72000000</v>
      </c>
      <c r="P429" s="2" t="s">
        <v>27</v>
      </c>
    </row>
    <row r="430" spans="1:16" outlineLevel="1">
      <c r="A430" s="14" t="s">
        <v>1039</v>
      </c>
      <c r="M430" s="3">
        <f>SUBTOTAL(9,M429:M429)</f>
        <v>0</v>
      </c>
      <c r="N430" s="3">
        <f>SUBTOTAL(9,N429:N429)</f>
        <v>0</v>
      </c>
    </row>
    <row r="431" spans="1:16" outlineLevel="2">
      <c r="A431" s="2" t="s">
        <v>759</v>
      </c>
      <c r="B431" s="2" t="s">
        <v>760</v>
      </c>
      <c r="C431" s="2" t="s">
        <v>553</v>
      </c>
      <c r="D431" s="3">
        <v>6000000</v>
      </c>
      <c r="E431" s="2" t="s">
        <v>18</v>
      </c>
      <c r="F431" s="4" t="s">
        <v>19</v>
      </c>
      <c r="G431" s="5" t="s">
        <v>20</v>
      </c>
      <c r="H431" s="2" t="s">
        <v>21</v>
      </c>
      <c r="I431" s="2" t="s">
        <v>22</v>
      </c>
      <c r="J431" s="2" t="s">
        <v>23</v>
      </c>
      <c r="K431" s="3" t="s">
        <v>24</v>
      </c>
      <c r="L431" s="2" t="s">
        <v>25</v>
      </c>
      <c r="M431" s="3" t="s">
        <v>26</v>
      </c>
      <c r="N431" s="3" t="s">
        <v>26</v>
      </c>
      <c r="O431" s="3">
        <v>6000000</v>
      </c>
      <c r="P431" s="2" t="s">
        <v>27</v>
      </c>
    </row>
    <row r="432" spans="1:16" outlineLevel="1">
      <c r="A432" s="14" t="s">
        <v>1040</v>
      </c>
      <c r="M432" s="3">
        <f>SUBTOTAL(9,M431:M431)</f>
        <v>0</v>
      </c>
      <c r="N432" s="3">
        <f>SUBTOTAL(9,N431:N431)</f>
        <v>0</v>
      </c>
    </row>
    <row r="433" spans="1:16" outlineLevel="2">
      <c r="A433" s="2" t="s">
        <v>761</v>
      </c>
      <c r="B433" s="2" t="s">
        <v>762</v>
      </c>
      <c r="C433" s="2" t="s">
        <v>536</v>
      </c>
      <c r="D433" s="3">
        <v>360000</v>
      </c>
      <c r="E433" s="2" t="s">
        <v>18</v>
      </c>
      <c r="F433" s="4" t="s">
        <v>19</v>
      </c>
      <c r="G433" s="5" t="s">
        <v>20</v>
      </c>
      <c r="H433" s="2" t="s">
        <v>21</v>
      </c>
      <c r="I433" s="2" t="s">
        <v>22</v>
      </c>
      <c r="J433" s="2" t="s">
        <v>23</v>
      </c>
      <c r="K433" s="3" t="s">
        <v>24</v>
      </c>
      <c r="L433" s="2" t="s">
        <v>25</v>
      </c>
      <c r="M433" s="3" t="s">
        <v>26</v>
      </c>
      <c r="N433" s="3" t="s">
        <v>26</v>
      </c>
      <c r="O433" s="3">
        <v>360000</v>
      </c>
      <c r="P433" s="2" t="s">
        <v>27</v>
      </c>
    </row>
    <row r="434" spans="1:16" outlineLevel="1">
      <c r="A434" s="14" t="s">
        <v>1041</v>
      </c>
      <c r="M434" s="3">
        <f>SUBTOTAL(9,M433:M433)</f>
        <v>0</v>
      </c>
      <c r="N434" s="3">
        <f>SUBTOTAL(9,N433:N433)</f>
        <v>0</v>
      </c>
    </row>
    <row r="435" spans="1:16" outlineLevel="2">
      <c r="A435" s="2" t="s">
        <v>763</v>
      </c>
      <c r="B435" s="2" t="s">
        <v>764</v>
      </c>
      <c r="C435" s="2" t="s">
        <v>765</v>
      </c>
      <c r="D435" s="3">
        <v>6000000</v>
      </c>
      <c r="E435" s="2" t="s">
        <v>18</v>
      </c>
      <c r="F435" s="4" t="s">
        <v>19</v>
      </c>
      <c r="G435" s="5" t="s">
        <v>20</v>
      </c>
      <c r="H435" s="2" t="s">
        <v>21</v>
      </c>
      <c r="I435" s="2" t="s">
        <v>22</v>
      </c>
      <c r="J435" s="2" t="s">
        <v>23</v>
      </c>
      <c r="K435" s="3" t="s">
        <v>24</v>
      </c>
      <c r="L435" s="2" t="s">
        <v>25</v>
      </c>
      <c r="M435" s="3" t="s">
        <v>26</v>
      </c>
      <c r="N435" s="3" t="s">
        <v>26</v>
      </c>
      <c r="O435" s="3">
        <v>6000000</v>
      </c>
      <c r="P435" s="2" t="s">
        <v>27</v>
      </c>
    </row>
    <row r="436" spans="1:16" outlineLevel="1">
      <c r="A436" s="14" t="s">
        <v>1042</v>
      </c>
      <c r="M436" s="3">
        <f>SUBTOTAL(9,M435:M435)</f>
        <v>0</v>
      </c>
      <c r="N436" s="3">
        <f>SUBTOTAL(9,N435:N435)</f>
        <v>0</v>
      </c>
    </row>
    <row r="437" spans="1:16" outlineLevel="2">
      <c r="A437" s="2" t="s">
        <v>766</v>
      </c>
      <c r="B437" s="2" t="s">
        <v>767</v>
      </c>
      <c r="C437" s="2" t="s">
        <v>558</v>
      </c>
      <c r="D437" s="3">
        <v>3000000</v>
      </c>
      <c r="E437" s="2" t="s">
        <v>18</v>
      </c>
      <c r="F437" s="4" t="s">
        <v>19</v>
      </c>
      <c r="G437" s="5" t="s">
        <v>20</v>
      </c>
      <c r="H437" s="2" t="s">
        <v>21</v>
      </c>
      <c r="I437" s="2" t="s">
        <v>22</v>
      </c>
      <c r="J437" s="2" t="s">
        <v>23</v>
      </c>
      <c r="K437" s="3" t="s">
        <v>24</v>
      </c>
      <c r="L437" s="2" t="s">
        <v>25</v>
      </c>
      <c r="M437" s="3" t="s">
        <v>26</v>
      </c>
      <c r="N437" s="3" t="s">
        <v>26</v>
      </c>
      <c r="O437" s="3">
        <v>3000000</v>
      </c>
      <c r="P437" s="2" t="s">
        <v>27</v>
      </c>
    </row>
    <row r="438" spans="1:16" outlineLevel="1">
      <c r="A438" s="14" t="s">
        <v>1043</v>
      </c>
      <c r="M438" s="3">
        <f>SUBTOTAL(9,M437:M437)</f>
        <v>0</v>
      </c>
      <c r="N438" s="3">
        <f>SUBTOTAL(9,N437:N437)</f>
        <v>0</v>
      </c>
    </row>
    <row r="439" spans="1:16" outlineLevel="2">
      <c r="A439" s="2" t="s">
        <v>768</v>
      </c>
      <c r="B439" s="2" t="s">
        <v>769</v>
      </c>
      <c r="C439" s="2" t="s">
        <v>770</v>
      </c>
      <c r="D439" s="3">
        <v>1044000</v>
      </c>
      <c r="E439" s="2" t="s">
        <v>18</v>
      </c>
      <c r="F439" s="4" t="s">
        <v>19</v>
      </c>
      <c r="G439" s="5" t="s">
        <v>20</v>
      </c>
      <c r="H439" s="2" t="s">
        <v>21</v>
      </c>
      <c r="I439" s="2" t="s">
        <v>22</v>
      </c>
      <c r="J439" s="2" t="s">
        <v>23</v>
      </c>
      <c r="K439" s="3" t="s">
        <v>24</v>
      </c>
      <c r="L439" s="2" t="s">
        <v>25</v>
      </c>
      <c r="M439" s="3" t="s">
        <v>26</v>
      </c>
      <c r="N439" s="3" t="s">
        <v>26</v>
      </c>
      <c r="O439" s="3">
        <v>1044000</v>
      </c>
      <c r="P439" s="2" t="s">
        <v>27</v>
      </c>
    </row>
    <row r="440" spans="1:16" outlineLevel="1">
      <c r="A440" s="14" t="s">
        <v>1044</v>
      </c>
      <c r="M440" s="3">
        <f>SUBTOTAL(9,M439:M439)</f>
        <v>0</v>
      </c>
      <c r="N440" s="3">
        <f>SUBTOTAL(9,N439:N439)</f>
        <v>0</v>
      </c>
    </row>
    <row r="441" spans="1:16" outlineLevel="2">
      <c r="A441" s="2" t="s">
        <v>771</v>
      </c>
      <c r="B441" s="2" t="s">
        <v>772</v>
      </c>
      <c r="C441" s="2" t="s">
        <v>773</v>
      </c>
      <c r="D441" s="3">
        <v>5011200</v>
      </c>
      <c r="E441" s="2" t="s">
        <v>18</v>
      </c>
      <c r="F441" s="4" t="s">
        <v>19</v>
      </c>
      <c r="G441" s="5" t="s">
        <v>20</v>
      </c>
      <c r="H441" s="2" t="s">
        <v>21</v>
      </c>
      <c r="I441" s="2" t="s">
        <v>22</v>
      </c>
      <c r="J441" s="2" t="s">
        <v>23</v>
      </c>
      <c r="K441" s="3" t="s">
        <v>24</v>
      </c>
      <c r="L441" s="2" t="s">
        <v>25</v>
      </c>
      <c r="M441" s="3" t="s">
        <v>26</v>
      </c>
      <c r="N441" s="3" t="s">
        <v>26</v>
      </c>
      <c r="O441" s="3">
        <v>5011200</v>
      </c>
      <c r="P441" s="2" t="s">
        <v>27</v>
      </c>
    </row>
    <row r="442" spans="1:16" outlineLevel="1">
      <c r="A442" s="14" t="s">
        <v>1045</v>
      </c>
      <c r="M442" s="3">
        <f>SUBTOTAL(9,M441:M441)</f>
        <v>0</v>
      </c>
      <c r="N442" s="3">
        <f>SUBTOTAL(9,N441:N441)</f>
        <v>0</v>
      </c>
    </row>
    <row r="443" spans="1:16" outlineLevel="2">
      <c r="A443" s="2" t="s">
        <v>774</v>
      </c>
      <c r="B443" s="2" t="s">
        <v>775</v>
      </c>
      <c r="C443" s="2" t="s">
        <v>776</v>
      </c>
      <c r="D443" s="3">
        <v>4320000</v>
      </c>
      <c r="E443" s="2" t="s">
        <v>18</v>
      </c>
      <c r="F443" s="4" t="s">
        <v>19</v>
      </c>
      <c r="G443" s="5" t="s">
        <v>20</v>
      </c>
      <c r="H443" s="2" t="s">
        <v>21</v>
      </c>
      <c r="I443" s="2" t="s">
        <v>22</v>
      </c>
      <c r="J443" s="2" t="s">
        <v>23</v>
      </c>
      <c r="K443" s="3" t="s">
        <v>24</v>
      </c>
      <c r="L443" s="2" t="s">
        <v>25</v>
      </c>
      <c r="M443" s="3" t="s">
        <v>26</v>
      </c>
      <c r="N443" s="3" t="s">
        <v>26</v>
      </c>
      <c r="O443" s="3">
        <v>4320000</v>
      </c>
      <c r="P443" s="2" t="s">
        <v>27</v>
      </c>
    </row>
    <row r="444" spans="1:16" outlineLevel="1">
      <c r="A444" s="14" t="s">
        <v>1046</v>
      </c>
      <c r="M444" s="3">
        <f>SUBTOTAL(9,M443:M443)</f>
        <v>0</v>
      </c>
      <c r="N444" s="3">
        <f>SUBTOTAL(9,N443:N443)</f>
        <v>0</v>
      </c>
    </row>
    <row r="445" spans="1:16" outlineLevel="2">
      <c r="A445" s="2" t="s">
        <v>777</v>
      </c>
      <c r="B445" s="2" t="s">
        <v>778</v>
      </c>
      <c r="C445" s="2" t="s">
        <v>779</v>
      </c>
      <c r="D445" s="3">
        <v>2880000</v>
      </c>
      <c r="E445" s="2" t="s">
        <v>18</v>
      </c>
      <c r="F445" s="4" t="s">
        <v>19</v>
      </c>
      <c r="G445" s="5" t="s">
        <v>20</v>
      </c>
      <c r="H445" s="2" t="s">
        <v>21</v>
      </c>
      <c r="I445" s="2" t="s">
        <v>22</v>
      </c>
      <c r="J445" s="2" t="s">
        <v>23</v>
      </c>
      <c r="K445" s="3" t="s">
        <v>24</v>
      </c>
      <c r="L445" s="2" t="s">
        <v>25</v>
      </c>
      <c r="M445" s="3" t="s">
        <v>26</v>
      </c>
      <c r="N445" s="3" t="s">
        <v>26</v>
      </c>
      <c r="O445" s="3">
        <v>2880000</v>
      </c>
      <c r="P445" s="2" t="s">
        <v>27</v>
      </c>
    </row>
    <row r="446" spans="1:16" outlineLevel="1">
      <c r="A446" s="14" t="s">
        <v>1047</v>
      </c>
      <c r="M446" s="3">
        <f>SUBTOTAL(9,M445:M445)</f>
        <v>0</v>
      </c>
      <c r="N446" s="3">
        <f>SUBTOTAL(9,N445:N445)</f>
        <v>0</v>
      </c>
    </row>
    <row r="447" spans="1:16" outlineLevel="2">
      <c r="A447" s="2" t="s">
        <v>780</v>
      </c>
      <c r="B447" s="2" t="s">
        <v>781</v>
      </c>
      <c r="C447" s="2" t="s">
        <v>782</v>
      </c>
      <c r="D447" s="3">
        <v>32000000</v>
      </c>
      <c r="E447" s="2" t="s">
        <v>783</v>
      </c>
      <c r="F447" s="4">
        <v>46206</v>
      </c>
      <c r="G447" s="5">
        <v>9540062</v>
      </c>
      <c r="H447" s="2" t="s">
        <v>226</v>
      </c>
      <c r="I447" s="2" t="s">
        <v>227</v>
      </c>
      <c r="J447" s="2" t="s">
        <v>23</v>
      </c>
      <c r="K447" s="3" t="s">
        <v>24</v>
      </c>
      <c r="L447" s="2" t="s">
        <v>624</v>
      </c>
      <c r="M447" s="3">
        <v>2000000</v>
      </c>
      <c r="N447" s="3" t="s">
        <v>26</v>
      </c>
      <c r="O447" s="3">
        <v>34000000</v>
      </c>
      <c r="P447" s="2" t="s">
        <v>27</v>
      </c>
    </row>
    <row r="448" spans="1:16" outlineLevel="2">
      <c r="A448" s="2" t="s">
        <v>780</v>
      </c>
      <c r="B448" s="2" t="s">
        <v>781</v>
      </c>
      <c r="C448" s="2" t="s">
        <v>782</v>
      </c>
      <c r="D448" s="3">
        <v>32000000</v>
      </c>
      <c r="E448" s="2" t="s">
        <v>784</v>
      </c>
      <c r="F448" s="4">
        <v>46234</v>
      </c>
      <c r="G448" s="5">
        <v>9540062</v>
      </c>
      <c r="H448" s="2" t="s">
        <v>226</v>
      </c>
      <c r="I448" s="2" t="s">
        <v>785</v>
      </c>
      <c r="J448" s="2" t="s">
        <v>23</v>
      </c>
      <c r="K448" s="3" t="s">
        <v>24</v>
      </c>
      <c r="L448" s="2" t="s">
        <v>624</v>
      </c>
      <c r="M448" s="3">
        <v>2000000</v>
      </c>
      <c r="N448" s="3" t="s">
        <v>26</v>
      </c>
      <c r="O448" s="3">
        <v>36000000</v>
      </c>
      <c r="P448" s="2" t="s">
        <v>27</v>
      </c>
    </row>
    <row r="449" spans="1:16" outlineLevel="1">
      <c r="A449" s="14" t="s">
        <v>1048</v>
      </c>
      <c r="M449" s="3">
        <f>SUBTOTAL(9,M447:M448)</f>
        <v>4000000</v>
      </c>
      <c r="N449" s="3">
        <f>SUBTOTAL(9,N447:N448)</f>
        <v>0</v>
      </c>
    </row>
    <row r="450" spans="1:16" outlineLevel="2">
      <c r="A450" s="2" t="s">
        <v>786</v>
      </c>
      <c r="B450" s="2" t="s">
        <v>787</v>
      </c>
      <c r="C450" s="2" t="s">
        <v>788</v>
      </c>
      <c r="D450" s="3">
        <v>500000</v>
      </c>
      <c r="E450" s="2" t="s">
        <v>18</v>
      </c>
      <c r="F450" s="4" t="s">
        <v>19</v>
      </c>
      <c r="G450" s="5" t="s">
        <v>20</v>
      </c>
      <c r="H450" s="2" t="s">
        <v>21</v>
      </c>
      <c r="I450" s="2" t="s">
        <v>22</v>
      </c>
      <c r="J450" s="2" t="s">
        <v>23</v>
      </c>
      <c r="K450" s="3" t="s">
        <v>24</v>
      </c>
      <c r="L450" s="2" t="s">
        <v>25</v>
      </c>
      <c r="M450" s="3" t="s">
        <v>26</v>
      </c>
      <c r="N450" s="3" t="s">
        <v>26</v>
      </c>
      <c r="O450" s="3">
        <v>500000</v>
      </c>
      <c r="P450" s="2" t="s">
        <v>27</v>
      </c>
    </row>
    <row r="451" spans="1:16" outlineLevel="1">
      <c r="A451" s="14" t="s">
        <v>1049</v>
      </c>
      <c r="M451" s="3">
        <f>SUBTOTAL(9,M450:M450)</f>
        <v>0</v>
      </c>
      <c r="N451" s="3">
        <f>SUBTOTAL(9,N450:N450)</f>
        <v>0</v>
      </c>
    </row>
    <row r="452" spans="1:16" outlineLevel="2">
      <c r="A452" s="2" t="s">
        <v>789</v>
      </c>
      <c r="B452" s="2" t="s">
        <v>790</v>
      </c>
      <c r="C452" s="2" t="s">
        <v>688</v>
      </c>
      <c r="D452" s="3">
        <v>18285500</v>
      </c>
      <c r="E452" s="2" t="s">
        <v>18</v>
      </c>
      <c r="F452" s="4" t="s">
        <v>19</v>
      </c>
      <c r="G452" s="5" t="s">
        <v>20</v>
      </c>
      <c r="H452" s="2" t="s">
        <v>21</v>
      </c>
      <c r="I452" s="2" t="s">
        <v>22</v>
      </c>
      <c r="J452" s="2" t="s">
        <v>23</v>
      </c>
      <c r="K452" s="3" t="s">
        <v>24</v>
      </c>
      <c r="L452" s="2" t="s">
        <v>25</v>
      </c>
      <c r="M452" s="3" t="s">
        <v>26</v>
      </c>
      <c r="N452" s="3" t="s">
        <v>26</v>
      </c>
      <c r="O452" s="3">
        <v>18285500</v>
      </c>
      <c r="P452" s="2" t="s">
        <v>27</v>
      </c>
    </row>
    <row r="453" spans="1:16" outlineLevel="1">
      <c r="A453" s="14" t="s">
        <v>1050</v>
      </c>
      <c r="M453" s="3">
        <f>SUBTOTAL(9,M452:M452)</f>
        <v>0</v>
      </c>
      <c r="N453" s="3">
        <f>SUBTOTAL(9,N452:N452)</f>
        <v>0</v>
      </c>
    </row>
    <row r="454" spans="1:16" outlineLevel="2">
      <c r="A454" s="2" t="s">
        <v>791</v>
      </c>
      <c r="B454" s="2" t="s">
        <v>792</v>
      </c>
      <c r="C454" s="2" t="s">
        <v>793</v>
      </c>
      <c r="D454" s="3">
        <v>62925700</v>
      </c>
      <c r="E454" s="2" t="s">
        <v>18</v>
      </c>
      <c r="F454" s="4" t="s">
        <v>19</v>
      </c>
      <c r="G454" s="5" t="s">
        <v>20</v>
      </c>
      <c r="H454" s="2" t="s">
        <v>21</v>
      </c>
      <c r="I454" s="2" t="s">
        <v>22</v>
      </c>
      <c r="J454" s="2" t="s">
        <v>23</v>
      </c>
      <c r="K454" s="3" t="s">
        <v>24</v>
      </c>
      <c r="L454" s="2" t="s">
        <v>25</v>
      </c>
      <c r="M454" s="3" t="s">
        <v>26</v>
      </c>
      <c r="N454" s="3" t="s">
        <v>26</v>
      </c>
      <c r="O454" s="3">
        <v>62925700</v>
      </c>
      <c r="P454" s="2" t="s">
        <v>27</v>
      </c>
    </row>
    <row r="455" spans="1:16" outlineLevel="1">
      <c r="A455" s="14" t="s">
        <v>1051</v>
      </c>
      <c r="M455" s="3">
        <f>SUBTOTAL(9,M454:M454)</f>
        <v>0</v>
      </c>
      <c r="N455" s="3">
        <f>SUBTOTAL(9,N454:N454)</f>
        <v>0</v>
      </c>
    </row>
    <row r="456" spans="1:16" outlineLevel="2">
      <c r="A456" s="2" t="s">
        <v>794</v>
      </c>
      <c r="B456" s="2" t="s">
        <v>795</v>
      </c>
      <c r="C456" s="2" t="s">
        <v>796</v>
      </c>
      <c r="D456" s="3">
        <v>640000</v>
      </c>
      <c r="E456" s="2" t="s">
        <v>18</v>
      </c>
      <c r="F456" s="4" t="s">
        <v>19</v>
      </c>
      <c r="G456" s="5" t="s">
        <v>20</v>
      </c>
      <c r="H456" s="2" t="s">
        <v>21</v>
      </c>
      <c r="I456" s="2" t="s">
        <v>22</v>
      </c>
      <c r="J456" s="2" t="s">
        <v>23</v>
      </c>
      <c r="K456" s="3" t="s">
        <v>24</v>
      </c>
      <c r="L456" s="2" t="s">
        <v>25</v>
      </c>
      <c r="M456" s="3" t="s">
        <v>26</v>
      </c>
      <c r="N456" s="3" t="s">
        <v>26</v>
      </c>
      <c r="O456" s="3">
        <v>640000</v>
      </c>
      <c r="P456" s="2" t="s">
        <v>27</v>
      </c>
    </row>
    <row r="457" spans="1:16" outlineLevel="1">
      <c r="A457" s="14" t="s">
        <v>1052</v>
      </c>
      <c r="M457" s="3">
        <f>SUBTOTAL(9,M456:M456)</f>
        <v>0</v>
      </c>
      <c r="N457" s="3">
        <f>SUBTOTAL(9,N456:N456)</f>
        <v>0</v>
      </c>
    </row>
    <row r="458" spans="1:16" outlineLevel="2">
      <c r="A458" s="2" t="s">
        <v>797</v>
      </c>
      <c r="B458" s="2" t="s">
        <v>798</v>
      </c>
      <c r="C458" s="2" t="s">
        <v>799</v>
      </c>
      <c r="D458" s="3">
        <v>6262900</v>
      </c>
      <c r="E458" s="2" t="s">
        <v>800</v>
      </c>
      <c r="F458" s="4">
        <v>46218</v>
      </c>
      <c r="G458" s="5">
        <v>805009601</v>
      </c>
      <c r="H458" s="2" t="s">
        <v>242</v>
      </c>
      <c r="I458" s="2" t="s">
        <v>379</v>
      </c>
      <c r="J458" s="2" t="s">
        <v>23</v>
      </c>
      <c r="K458" s="3" t="s">
        <v>24</v>
      </c>
      <c r="L458" s="2" t="s">
        <v>624</v>
      </c>
      <c r="M458" s="3">
        <v>759000</v>
      </c>
      <c r="N458" s="3" t="s">
        <v>26</v>
      </c>
      <c r="O458" s="3">
        <v>7021900</v>
      </c>
      <c r="P458" s="2" t="s">
        <v>27</v>
      </c>
    </row>
    <row r="459" spans="1:16" outlineLevel="2">
      <c r="A459" s="2" t="s">
        <v>797</v>
      </c>
      <c r="B459" s="2" t="s">
        <v>798</v>
      </c>
      <c r="C459" s="2" t="s">
        <v>799</v>
      </c>
      <c r="D459" s="3">
        <v>6262900</v>
      </c>
      <c r="E459" s="2" t="s">
        <v>801</v>
      </c>
      <c r="F459" s="4">
        <v>46234</v>
      </c>
      <c r="G459" s="5">
        <v>1065873176</v>
      </c>
      <c r="H459" s="2" t="s">
        <v>295</v>
      </c>
      <c r="I459" s="2" t="s">
        <v>802</v>
      </c>
      <c r="J459" s="2" t="s">
        <v>23</v>
      </c>
      <c r="K459" s="3" t="s">
        <v>24</v>
      </c>
      <c r="L459" s="2" t="s">
        <v>624</v>
      </c>
      <c r="M459" s="3">
        <v>107000</v>
      </c>
      <c r="N459" s="3" t="s">
        <v>26</v>
      </c>
      <c r="O459" s="3">
        <v>7128900</v>
      </c>
      <c r="P459" s="2" t="s">
        <v>27</v>
      </c>
    </row>
    <row r="460" spans="1:16" outlineLevel="2">
      <c r="A460" s="2" t="s">
        <v>797</v>
      </c>
      <c r="B460" s="2" t="s">
        <v>798</v>
      </c>
      <c r="C460" s="2" t="s">
        <v>799</v>
      </c>
      <c r="D460" s="3">
        <v>6262900</v>
      </c>
      <c r="E460" s="2" t="s">
        <v>803</v>
      </c>
      <c r="F460" s="4">
        <v>46234</v>
      </c>
      <c r="G460" s="5">
        <v>1067720548</v>
      </c>
      <c r="H460" s="2" t="s">
        <v>299</v>
      </c>
      <c r="I460" s="2" t="s">
        <v>804</v>
      </c>
      <c r="J460" s="2" t="s">
        <v>23</v>
      </c>
      <c r="K460" s="3" t="s">
        <v>24</v>
      </c>
      <c r="L460" s="2" t="s">
        <v>624</v>
      </c>
      <c r="M460" s="3">
        <v>400000</v>
      </c>
      <c r="N460" s="3" t="s">
        <v>26</v>
      </c>
      <c r="O460" s="3">
        <v>7528900</v>
      </c>
      <c r="P460" s="2" t="s">
        <v>27</v>
      </c>
    </row>
    <row r="461" spans="1:16" outlineLevel="2">
      <c r="A461" s="2" t="s">
        <v>797</v>
      </c>
      <c r="B461" s="2" t="s">
        <v>798</v>
      </c>
      <c r="C461" s="2" t="s">
        <v>799</v>
      </c>
      <c r="D461" s="3">
        <v>6262900</v>
      </c>
      <c r="E461" s="2" t="s">
        <v>805</v>
      </c>
      <c r="F461" s="4">
        <v>46234</v>
      </c>
      <c r="G461" s="5">
        <v>77093599</v>
      </c>
      <c r="H461" s="2" t="s">
        <v>303</v>
      </c>
      <c r="I461" s="2" t="s">
        <v>806</v>
      </c>
      <c r="J461" s="2" t="s">
        <v>23</v>
      </c>
      <c r="K461" s="3" t="s">
        <v>24</v>
      </c>
      <c r="L461" s="2" t="s">
        <v>624</v>
      </c>
      <c r="M461" s="3">
        <v>16000</v>
      </c>
      <c r="N461" s="3" t="s">
        <v>26</v>
      </c>
      <c r="O461" s="3">
        <v>7544900</v>
      </c>
      <c r="P461" s="2" t="s">
        <v>27</v>
      </c>
    </row>
    <row r="462" spans="1:16" outlineLevel="1">
      <c r="A462" s="14" t="s">
        <v>1053</v>
      </c>
      <c r="M462" s="3">
        <f>SUBTOTAL(9,M458:M461)</f>
        <v>1282000</v>
      </c>
      <c r="N462" s="3">
        <f>SUBTOTAL(9,N458:N461)</f>
        <v>0</v>
      </c>
    </row>
    <row r="463" spans="1:16" outlineLevel="2">
      <c r="A463" s="2" t="s">
        <v>807</v>
      </c>
      <c r="B463" s="2" t="s">
        <v>808</v>
      </c>
      <c r="C463" s="2" t="s">
        <v>150</v>
      </c>
      <c r="D463" s="3">
        <v>70000</v>
      </c>
      <c r="E463" s="2" t="s">
        <v>18</v>
      </c>
      <c r="F463" s="4" t="s">
        <v>19</v>
      </c>
      <c r="G463" s="5" t="s">
        <v>20</v>
      </c>
      <c r="H463" s="2" t="s">
        <v>21</v>
      </c>
      <c r="I463" s="2" t="s">
        <v>22</v>
      </c>
      <c r="J463" s="2" t="s">
        <v>23</v>
      </c>
      <c r="K463" s="3" t="s">
        <v>24</v>
      </c>
      <c r="L463" s="2" t="s">
        <v>25</v>
      </c>
      <c r="M463" s="3" t="s">
        <v>26</v>
      </c>
      <c r="N463" s="3" t="s">
        <v>26</v>
      </c>
      <c r="O463" s="3">
        <v>70000</v>
      </c>
      <c r="P463" s="2" t="s">
        <v>27</v>
      </c>
    </row>
    <row r="464" spans="1:16" outlineLevel="1">
      <c r="A464" s="14" t="s">
        <v>1054</v>
      </c>
      <c r="M464" s="3">
        <f>SUBTOTAL(9,M463:M463)</f>
        <v>0</v>
      </c>
      <c r="N464" s="3">
        <f>SUBTOTAL(9,N463:N463)</f>
        <v>0</v>
      </c>
    </row>
    <row r="465" spans="1:16" outlineLevel="2">
      <c r="A465" s="2" t="s">
        <v>809</v>
      </c>
      <c r="B465" s="2" t="s">
        <v>810</v>
      </c>
      <c r="C465" s="2" t="s">
        <v>173</v>
      </c>
      <c r="D465" s="3">
        <v>60000</v>
      </c>
      <c r="E465" s="2" t="s">
        <v>811</v>
      </c>
      <c r="F465" s="4">
        <v>46234</v>
      </c>
      <c r="G465" s="5">
        <v>830037946</v>
      </c>
      <c r="H465" s="2" t="s">
        <v>490</v>
      </c>
      <c r="I465" s="2" t="s">
        <v>491</v>
      </c>
      <c r="J465" s="2" t="s">
        <v>23</v>
      </c>
      <c r="K465" s="3" t="s">
        <v>24</v>
      </c>
      <c r="L465" s="2" t="s">
        <v>624</v>
      </c>
      <c r="M465" s="3">
        <v>109160</v>
      </c>
      <c r="N465" s="3" t="s">
        <v>26</v>
      </c>
      <c r="O465" s="3">
        <v>169160</v>
      </c>
      <c r="P465" s="2" t="s">
        <v>27</v>
      </c>
    </row>
    <row r="466" spans="1:16" outlineLevel="1">
      <c r="A466" s="14" t="s">
        <v>1055</v>
      </c>
      <c r="M466" s="3">
        <f>SUBTOTAL(9,M465:M465)</f>
        <v>109160</v>
      </c>
      <c r="N466" s="3">
        <f>SUBTOTAL(9,N465:N465)</f>
        <v>0</v>
      </c>
    </row>
    <row r="467" spans="1:16" outlineLevel="2">
      <c r="A467" s="2" t="s">
        <v>812</v>
      </c>
      <c r="B467" s="2" t="s">
        <v>813</v>
      </c>
      <c r="C467" s="2" t="s">
        <v>176</v>
      </c>
      <c r="D467" s="3">
        <v>1185647.06</v>
      </c>
      <c r="E467" s="2" t="s">
        <v>814</v>
      </c>
      <c r="F467" s="4">
        <v>46234</v>
      </c>
      <c r="G467" s="5">
        <v>901225413</v>
      </c>
      <c r="H467" s="2" t="s">
        <v>383</v>
      </c>
      <c r="I467" s="2" t="s">
        <v>384</v>
      </c>
      <c r="J467" s="2" t="s">
        <v>23</v>
      </c>
      <c r="K467" s="3" t="s">
        <v>24</v>
      </c>
      <c r="L467" s="2" t="s">
        <v>624</v>
      </c>
      <c r="M467" s="3">
        <v>145000</v>
      </c>
      <c r="N467" s="3" t="s">
        <v>26</v>
      </c>
      <c r="O467" s="3">
        <v>1330647.06</v>
      </c>
      <c r="P467" s="2" t="s">
        <v>27</v>
      </c>
    </row>
    <row r="468" spans="1:16" outlineLevel="1">
      <c r="A468" s="14" t="s">
        <v>1056</v>
      </c>
      <c r="M468" s="3">
        <f>SUBTOTAL(9,M467:M467)</f>
        <v>145000</v>
      </c>
      <c r="N468" s="3">
        <f>SUBTOTAL(9,N467:N467)</f>
        <v>0</v>
      </c>
    </row>
    <row r="469" spans="1:16" outlineLevel="2">
      <c r="A469" s="2" t="s">
        <v>815</v>
      </c>
      <c r="B469" s="2" t="s">
        <v>816</v>
      </c>
      <c r="C469" s="2" t="s">
        <v>817</v>
      </c>
      <c r="D469" s="3">
        <v>0</v>
      </c>
      <c r="E469" s="2" t="s">
        <v>818</v>
      </c>
      <c r="F469" s="4">
        <v>46234</v>
      </c>
      <c r="G469" s="5">
        <v>1067710598</v>
      </c>
      <c r="H469" s="2" t="s">
        <v>307</v>
      </c>
      <c r="I469" s="2" t="s">
        <v>819</v>
      </c>
      <c r="J469" s="2" t="s">
        <v>23</v>
      </c>
      <c r="K469" s="3" t="s">
        <v>24</v>
      </c>
      <c r="L469" s="2" t="s">
        <v>624</v>
      </c>
      <c r="M469" s="3">
        <v>1200000</v>
      </c>
      <c r="N469" s="3" t="s">
        <v>26</v>
      </c>
      <c r="O469" s="3">
        <v>1200000</v>
      </c>
      <c r="P469" s="2" t="s">
        <v>27</v>
      </c>
    </row>
    <row r="470" spans="1:16" outlineLevel="1">
      <c r="A470" s="14" t="s">
        <v>1057</v>
      </c>
      <c r="M470" s="3">
        <f>SUBTOTAL(9,M469:M469)</f>
        <v>1200000</v>
      </c>
      <c r="N470" s="3">
        <f>SUBTOTAL(9,N469:N469)</f>
        <v>0</v>
      </c>
    </row>
    <row r="471" spans="1:16" outlineLevel="2">
      <c r="A471" s="2" t="s">
        <v>820</v>
      </c>
      <c r="B471" s="2" t="s">
        <v>821</v>
      </c>
      <c r="C471" s="2" t="s">
        <v>822</v>
      </c>
      <c r="D471" s="3">
        <v>13006710.859999999</v>
      </c>
      <c r="E471" s="2" t="s">
        <v>18</v>
      </c>
      <c r="F471" s="4" t="s">
        <v>19</v>
      </c>
      <c r="G471" s="5" t="s">
        <v>20</v>
      </c>
      <c r="H471" s="2" t="s">
        <v>21</v>
      </c>
      <c r="I471" s="2" t="s">
        <v>22</v>
      </c>
      <c r="J471" s="2" t="s">
        <v>23</v>
      </c>
      <c r="K471" s="3" t="s">
        <v>24</v>
      </c>
      <c r="L471" s="2" t="s">
        <v>25</v>
      </c>
      <c r="M471" s="3" t="s">
        <v>26</v>
      </c>
      <c r="N471" s="3" t="s">
        <v>26</v>
      </c>
      <c r="O471" s="3">
        <v>13006710.859999999</v>
      </c>
      <c r="P471" s="2" t="s">
        <v>27</v>
      </c>
    </row>
    <row r="472" spans="1:16" outlineLevel="1">
      <c r="A472" s="14" t="s">
        <v>1058</v>
      </c>
      <c r="M472" s="3">
        <f>SUBTOTAL(9,M471:M471)</f>
        <v>0</v>
      </c>
      <c r="N472" s="3">
        <f>SUBTOTAL(9,N471:N471)</f>
        <v>0</v>
      </c>
    </row>
    <row r="473" spans="1:16" outlineLevel="2">
      <c r="A473" s="2" t="s">
        <v>823</v>
      </c>
      <c r="B473" s="2" t="s">
        <v>824</v>
      </c>
      <c r="C473" s="2" t="s">
        <v>825</v>
      </c>
      <c r="D473" s="3">
        <v>1683160</v>
      </c>
      <c r="E473" s="2" t="s">
        <v>18</v>
      </c>
      <c r="F473" s="4" t="s">
        <v>19</v>
      </c>
      <c r="G473" s="5" t="s">
        <v>20</v>
      </c>
      <c r="H473" s="2" t="s">
        <v>21</v>
      </c>
      <c r="I473" s="2" t="s">
        <v>22</v>
      </c>
      <c r="J473" s="2" t="s">
        <v>23</v>
      </c>
      <c r="K473" s="3" t="s">
        <v>24</v>
      </c>
      <c r="L473" s="2" t="s">
        <v>25</v>
      </c>
      <c r="M473" s="3" t="s">
        <v>26</v>
      </c>
      <c r="N473" s="3" t="s">
        <v>26</v>
      </c>
      <c r="O473" s="3">
        <v>1683160</v>
      </c>
      <c r="P473" s="2" t="s">
        <v>27</v>
      </c>
    </row>
    <row r="474" spans="1:16" outlineLevel="1">
      <c r="A474" s="14" t="s">
        <v>1059</v>
      </c>
      <c r="M474" s="3">
        <f>SUBTOTAL(9,M473:M473)</f>
        <v>0</v>
      </c>
      <c r="N474" s="3">
        <f>SUBTOTAL(9,N473:N473)</f>
        <v>0</v>
      </c>
    </row>
    <row r="475" spans="1:16" outlineLevel="2">
      <c r="A475" s="2" t="s">
        <v>826</v>
      </c>
      <c r="B475" s="2" t="s">
        <v>827</v>
      </c>
      <c r="C475" s="2" t="s">
        <v>828</v>
      </c>
      <c r="D475" s="3">
        <v>1690202</v>
      </c>
      <c r="E475" s="2" t="s">
        <v>829</v>
      </c>
      <c r="F475" s="4">
        <v>46233</v>
      </c>
      <c r="G475" s="5">
        <v>12524395</v>
      </c>
      <c r="H475" s="2" t="s">
        <v>218</v>
      </c>
      <c r="I475" s="2" t="s">
        <v>830</v>
      </c>
      <c r="J475" s="2" t="s">
        <v>23</v>
      </c>
      <c r="K475" s="3" t="s">
        <v>24</v>
      </c>
      <c r="L475" s="2" t="s">
        <v>624</v>
      </c>
      <c r="M475" s="3">
        <v>312000</v>
      </c>
      <c r="N475" s="3" t="s">
        <v>26</v>
      </c>
      <c r="O475" s="3">
        <v>2002202</v>
      </c>
      <c r="P475" s="2" t="s">
        <v>27</v>
      </c>
    </row>
    <row r="476" spans="1:16" outlineLevel="1">
      <c r="A476" s="14" t="s">
        <v>1060</v>
      </c>
      <c r="M476" s="3">
        <f>SUBTOTAL(9,M475:M475)</f>
        <v>312000</v>
      </c>
      <c r="N476" s="3">
        <f>SUBTOTAL(9,N475:N475)</f>
        <v>0</v>
      </c>
    </row>
    <row r="477" spans="1:16" outlineLevel="2">
      <c r="A477" s="2" t="s">
        <v>831</v>
      </c>
      <c r="B477" s="2" t="s">
        <v>832</v>
      </c>
      <c r="C477" s="2" t="s">
        <v>833</v>
      </c>
      <c r="D477" s="3">
        <v>37000</v>
      </c>
      <c r="E477" s="2" t="s">
        <v>834</v>
      </c>
      <c r="F477" s="4">
        <v>46234</v>
      </c>
      <c r="G477" s="5">
        <v>26666567</v>
      </c>
      <c r="H477" s="2" t="s">
        <v>291</v>
      </c>
      <c r="I477" s="2" t="s">
        <v>835</v>
      </c>
      <c r="J477" s="2" t="s">
        <v>23</v>
      </c>
      <c r="K477" s="3" t="s">
        <v>24</v>
      </c>
      <c r="L477" s="2" t="s">
        <v>624</v>
      </c>
      <c r="M477" s="3">
        <v>30000</v>
      </c>
      <c r="N477" s="3" t="s">
        <v>26</v>
      </c>
      <c r="O477" s="3">
        <v>67000</v>
      </c>
      <c r="P477" s="2" t="s">
        <v>27</v>
      </c>
    </row>
    <row r="478" spans="1:16" outlineLevel="2">
      <c r="A478" s="2" t="s">
        <v>831</v>
      </c>
      <c r="B478" s="2" t="s">
        <v>832</v>
      </c>
      <c r="C478" s="2" t="s">
        <v>833</v>
      </c>
      <c r="D478" s="3">
        <v>37000</v>
      </c>
      <c r="E478" s="2" t="s">
        <v>836</v>
      </c>
      <c r="F478" s="4">
        <v>46234</v>
      </c>
      <c r="G478" s="5">
        <v>26666567</v>
      </c>
      <c r="H478" s="2" t="s">
        <v>291</v>
      </c>
      <c r="I478" s="2" t="s">
        <v>837</v>
      </c>
      <c r="J478" s="2" t="s">
        <v>23</v>
      </c>
      <c r="K478" s="3" t="s">
        <v>24</v>
      </c>
      <c r="L478" s="2" t="s">
        <v>624</v>
      </c>
      <c r="M478" s="3">
        <v>15000</v>
      </c>
      <c r="N478" s="3" t="s">
        <v>26</v>
      </c>
      <c r="O478" s="3">
        <v>82000</v>
      </c>
      <c r="P478" s="2" t="s">
        <v>27</v>
      </c>
    </row>
    <row r="479" spans="1:16" outlineLevel="2">
      <c r="A479" s="2" t="s">
        <v>831</v>
      </c>
      <c r="B479" s="2" t="s">
        <v>832</v>
      </c>
      <c r="C479" s="2" t="s">
        <v>833</v>
      </c>
      <c r="D479" s="3">
        <v>37000</v>
      </c>
      <c r="E479" s="2" t="s">
        <v>838</v>
      </c>
      <c r="F479" s="4">
        <v>46234</v>
      </c>
      <c r="G479" s="5">
        <v>26666567</v>
      </c>
      <c r="H479" s="2" t="s">
        <v>291</v>
      </c>
      <c r="I479" s="2" t="s">
        <v>839</v>
      </c>
      <c r="J479" s="2" t="s">
        <v>23</v>
      </c>
      <c r="K479" s="3" t="s">
        <v>24</v>
      </c>
      <c r="L479" s="2" t="s">
        <v>624</v>
      </c>
      <c r="M479" s="3">
        <v>10800</v>
      </c>
      <c r="N479" s="3" t="s">
        <v>26</v>
      </c>
      <c r="O479" s="3">
        <v>92800</v>
      </c>
      <c r="P479" s="2" t="s">
        <v>27</v>
      </c>
    </row>
    <row r="480" spans="1:16" outlineLevel="1">
      <c r="A480" s="14" t="s">
        <v>1061</v>
      </c>
      <c r="M480" s="3">
        <f>SUBTOTAL(9,M477:M479)</f>
        <v>55800</v>
      </c>
      <c r="N480" s="3">
        <f>SUBTOTAL(9,N477:N479)</f>
        <v>0</v>
      </c>
    </row>
    <row r="481" spans="1:16" outlineLevel="2">
      <c r="A481" s="2" t="s">
        <v>840</v>
      </c>
      <c r="B481" s="2" t="s">
        <v>841</v>
      </c>
      <c r="C481" s="2" t="s">
        <v>842</v>
      </c>
      <c r="D481" s="3">
        <v>3950004</v>
      </c>
      <c r="E481" s="2" t="s">
        <v>843</v>
      </c>
      <c r="F481" s="4">
        <v>46204</v>
      </c>
      <c r="G481" s="5">
        <v>901919178</v>
      </c>
      <c r="H481" s="2" t="s">
        <v>210</v>
      </c>
      <c r="I481" s="2" t="s">
        <v>406</v>
      </c>
      <c r="J481" s="2" t="s">
        <v>23</v>
      </c>
      <c r="K481" s="3" t="s">
        <v>24</v>
      </c>
      <c r="L481" s="2" t="s">
        <v>624</v>
      </c>
      <c r="M481" s="3">
        <v>119623</v>
      </c>
      <c r="N481" s="3" t="s">
        <v>26</v>
      </c>
      <c r="O481" s="3">
        <v>4069627</v>
      </c>
      <c r="P481" s="2" t="s">
        <v>27</v>
      </c>
    </row>
    <row r="482" spans="1:16" outlineLevel="2">
      <c r="A482" s="2" t="s">
        <v>840</v>
      </c>
      <c r="B482" s="2" t="s">
        <v>841</v>
      </c>
      <c r="C482" s="2" t="s">
        <v>842</v>
      </c>
      <c r="D482" s="3">
        <v>3950004</v>
      </c>
      <c r="E482" s="2" t="s">
        <v>844</v>
      </c>
      <c r="F482" s="4">
        <v>46206</v>
      </c>
      <c r="G482" s="5">
        <v>900375701</v>
      </c>
      <c r="H482" s="2" t="s">
        <v>234</v>
      </c>
      <c r="I482" s="2" t="s">
        <v>408</v>
      </c>
      <c r="J482" s="2" t="s">
        <v>23</v>
      </c>
      <c r="K482" s="3" t="s">
        <v>24</v>
      </c>
      <c r="L482" s="2" t="s">
        <v>624</v>
      </c>
      <c r="M482" s="3">
        <v>239110</v>
      </c>
      <c r="N482" s="3" t="s">
        <v>26</v>
      </c>
      <c r="O482" s="3">
        <v>4308737</v>
      </c>
      <c r="P482" s="2" t="s">
        <v>27</v>
      </c>
    </row>
    <row r="483" spans="1:16" outlineLevel="2">
      <c r="A483" s="2" t="s">
        <v>840</v>
      </c>
      <c r="B483" s="2" t="s">
        <v>841</v>
      </c>
      <c r="C483" s="2" t="s">
        <v>842</v>
      </c>
      <c r="D483" s="3">
        <v>3950004</v>
      </c>
      <c r="E483" s="2" t="s">
        <v>845</v>
      </c>
      <c r="F483" s="4">
        <v>46224</v>
      </c>
      <c r="G483" s="5">
        <v>824006407</v>
      </c>
      <c r="H483" s="2" t="s">
        <v>265</v>
      </c>
      <c r="I483" s="2" t="s">
        <v>410</v>
      </c>
      <c r="J483" s="2" t="s">
        <v>23</v>
      </c>
      <c r="K483" s="3" t="s">
        <v>24</v>
      </c>
      <c r="L483" s="2" t="s">
        <v>624</v>
      </c>
      <c r="M483" s="3">
        <v>290000</v>
      </c>
      <c r="N483" s="3" t="s">
        <v>26</v>
      </c>
      <c r="O483" s="3">
        <v>4598737</v>
      </c>
      <c r="P483" s="2" t="s">
        <v>27</v>
      </c>
    </row>
    <row r="484" spans="1:16" outlineLevel="2">
      <c r="A484" s="2" t="s">
        <v>840</v>
      </c>
      <c r="B484" s="2" t="s">
        <v>841</v>
      </c>
      <c r="C484" s="2" t="s">
        <v>842</v>
      </c>
      <c r="D484" s="3">
        <v>3950004</v>
      </c>
      <c r="E484" s="2" t="s">
        <v>846</v>
      </c>
      <c r="F484" s="4">
        <v>46234</v>
      </c>
      <c r="G484" s="5">
        <v>901919178</v>
      </c>
      <c r="H484" s="2" t="s">
        <v>210</v>
      </c>
      <c r="I484" s="2" t="s">
        <v>412</v>
      </c>
      <c r="J484" s="2" t="s">
        <v>23</v>
      </c>
      <c r="K484" s="3" t="s">
        <v>24</v>
      </c>
      <c r="L484" s="2" t="s">
        <v>624</v>
      </c>
      <c r="M484" s="3">
        <v>50000</v>
      </c>
      <c r="N484" s="3" t="s">
        <v>26</v>
      </c>
      <c r="O484" s="3">
        <v>4648737</v>
      </c>
      <c r="P484" s="2" t="s">
        <v>27</v>
      </c>
    </row>
    <row r="485" spans="1:16" outlineLevel="1">
      <c r="A485" s="14" t="s">
        <v>1062</v>
      </c>
      <c r="M485" s="3">
        <f>SUBTOTAL(9,M481:M484)</f>
        <v>698733</v>
      </c>
      <c r="N485" s="3">
        <f>SUBTOTAL(9,N481:N484)</f>
        <v>0</v>
      </c>
    </row>
    <row r="486" spans="1:16" outlineLevel="2">
      <c r="A486" s="2" t="s">
        <v>847</v>
      </c>
      <c r="B486" s="2" t="s">
        <v>848</v>
      </c>
      <c r="C486" s="2" t="s">
        <v>849</v>
      </c>
      <c r="D486" s="3">
        <v>3435000</v>
      </c>
      <c r="E486" s="2" t="s">
        <v>18</v>
      </c>
      <c r="F486" s="4" t="s">
        <v>19</v>
      </c>
      <c r="G486" s="5" t="s">
        <v>20</v>
      </c>
      <c r="H486" s="2" t="s">
        <v>21</v>
      </c>
      <c r="I486" s="2" t="s">
        <v>22</v>
      </c>
      <c r="J486" s="2" t="s">
        <v>23</v>
      </c>
      <c r="K486" s="3" t="s">
        <v>24</v>
      </c>
      <c r="L486" s="2" t="s">
        <v>25</v>
      </c>
      <c r="M486" s="3" t="s">
        <v>26</v>
      </c>
      <c r="N486" s="3" t="s">
        <v>26</v>
      </c>
      <c r="O486" s="3">
        <v>3435000</v>
      </c>
      <c r="P486" s="2" t="s">
        <v>27</v>
      </c>
    </row>
    <row r="487" spans="1:16" outlineLevel="1">
      <c r="A487" s="14" t="s">
        <v>1063</v>
      </c>
      <c r="M487" s="3">
        <f>SUBTOTAL(9,M486:M486)</f>
        <v>0</v>
      </c>
      <c r="N487" s="3">
        <f>SUBTOTAL(9,N486:N486)</f>
        <v>0</v>
      </c>
    </row>
    <row r="488" spans="1:16" outlineLevel="2">
      <c r="A488" s="2" t="s">
        <v>850</v>
      </c>
      <c r="B488" s="2" t="s">
        <v>851</v>
      </c>
      <c r="C488" s="2" t="s">
        <v>852</v>
      </c>
      <c r="D488" s="3">
        <v>1476053.01</v>
      </c>
      <c r="E488" s="2" t="s">
        <v>853</v>
      </c>
      <c r="F488" s="4">
        <v>46206</v>
      </c>
      <c r="G488" s="5">
        <v>901370014</v>
      </c>
      <c r="H488" s="2" t="s">
        <v>238</v>
      </c>
      <c r="I488" s="2" t="s">
        <v>854</v>
      </c>
      <c r="J488" s="2" t="s">
        <v>23</v>
      </c>
      <c r="K488" s="3" t="s">
        <v>24</v>
      </c>
      <c r="L488" s="2" t="s">
        <v>624</v>
      </c>
      <c r="M488" s="3">
        <v>104700</v>
      </c>
      <c r="N488" s="3" t="s">
        <v>26</v>
      </c>
      <c r="O488" s="3">
        <v>1580753.01</v>
      </c>
      <c r="P488" s="2" t="s">
        <v>27</v>
      </c>
    </row>
    <row r="489" spans="1:16" outlineLevel="2">
      <c r="A489" s="2" t="s">
        <v>850</v>
      </c>
      <c r="B489" s="2" t="s">
        <v>851</v>
      </c>
      <c r="C489" s="2" t="s">
        <v>852</v>
      </c>
      <c r="D489" s="3">
        <v>1476053.01</v>
      </c>
      <c r="E489" s="2" t="s">
        <v>855</v>
      </c>
      <c r="F489" s="4">
        <v>46224</v>
      </c>
      <c r="G489" s="5">
        <v>900491889</v>
      </c>
      <c r="H489" s="2" t="s">
        <v>269</v>
      </c>
      <c r="I489" s="2" t="s">
        <v>488</v>
      </c>
      <c r="J489" s="2" t="s">
        <v>23</v>
      </c>
      <c r="K489" s="3" t="s">
        <v>24</v>
      </c>
      <c r="L489" s="2" t="s">
        <v>624</v>
      </c>
      <c r="M489" s="3">
        <v>30084</v>
      </c>
      <c r="N489" s="3" t="s">
        <v>26</v>
      </c>
      <c r="O489" s="3">
        <v>1610837.01</v>
      </c>
      <c r="P489" s="2" t="s">
        <v>27</v>
      </c>
    </row>
    <row r="490" spans="1:16" outlineLevel="1">
      <c r="A490" s="14" t="s">
        <v>1064</v>
      </c>
      <c r="M490" s="3">
        <f>SUBTOTAL(9,M488:M489)</f>
        <v>134784</v>
      </c>
      <c r="N490" s="3">
        <f>SUBTOTAL(9,N488:N489)</f>
        <v>0</v>
      </c>
    </row>
    <row r="491" spans="1:16" outlineLevel="2">
      <c r="A491" s="2" t="s">
        <v>856</v>
      </c>
      <c r="B491" s="2" t="s">
        <v>857</v>
      </c>
      <c r="C491" s="2" t="s">
        <v>858</v>
      </c>
      <c r="D491" s="3">
        <v>1764600</v>
      </c>
      <c r="E491" s="2" t="s">
        <v>859</v>
      </c>
      <c r="F491" s="4">
        <v>46234</v>
      </c>
      <c r="G491" s="5">
        <v>1064119619</v>
      </c>
      <c r="H491" s="2" t="s">
        <v>311</v>
      </c>
      <c r="I491" s="2" t="s">
        <v>860</v>
      </c>
      <c r="J491" s="2" t="s">
        <v>23</v>
      </c>
      <c r="K491" s="3" t="s">
        <v>24</v>
      </c>
      <c r="L491" s="2" t="s">
        <v>624</v>
      </c>
      <c r="M491" s="3">
        <v>360000</v>
      </c>
      <c r="N491" s="3" t="s">
        <v>26</v>
      </c>
      <c r="O491" s="3">
        <v>2124600</v>
      </c>
      <c r="P491" s="2" t="s">
        <v>27</v>
      </c>
    </row>
    <row r="492" spans="1:16" outlineLevel="1">
      <c r="A492" s="14" t="s">
        <v>1065</v>
      </c>
      <c r="M492" s="3">
        <f>SUBTOTAL(9,M491:M491)</f>
        <v>360000</v>
      </c>
      <c r="N492" s="3">
        <f>SUBTOTAL(9,N491:N491)</f>
        <v>0</v>
      </c>
    </row>
    <row r="493" spans="1:16" outlineLevel="2">
      <c r="A493" s="2" t="s">
        <v>861</v>
      </c>
      <c r="B493" s="2" t="s">
        <v>862</v>
      </c>
      <c r="C493" s="2" t="s">
        <v>188</v>
      </c>
      <c r="D493" s="3">
        <v>2177967.08</v>
      </c>
      <c r="E493" s="2" t="s">
        <v>863</v>
      </c>
      <c r="F493" s="4">
        <v>46234</v>
      </c>
      <c r="G493" s="5">
        <v>901941781</v>
      </c>
      <c r="H493" s="2" t="s">
        <v>493</v>
      </c>
      <c r="I493" s="2" t="s">
        <v>494</v>
      </c>
      <c r="J493" s="2" t="s">
        <v>23</v>
      </c>
      <c r="K493" s="3" t="s">
        <v>24</v>
      </c>
      <c r="L493" s="2" t="s">
        <v>624</v>
      </c>
      <c r="M493" s="3">
        <v>56224</v>
      </c>
      <c r="N493" s="3" t="s">
        <v>26</v>
      </c>
      <c r="O493" s="3">
        <v>2234191.08</v>
      </c>
      <c r="P493" s="2" t="s">
        <v>27</v>
      </c>
    </row>
    <row r="494" spans="1:16" outlineLevel="2">
      <c r="A494" s="2" t="s">
        <v>861</v>
      </c>
      <c r="B494" s="2" t="s">
        <v>862</v>
      </c>
      <c r="C494" s="2" t="s">
        <v>188</v>
      </c>
      <c r="D494" s="3">
        <v>2177967.08</v>
      </c>
      <c r="E494" s="2" t="s">
        <v>864</v>
      </c>
      <c r="F494" s="4">
        <v>46234</v>
      </c>
      <c r="G494" s="5">
        <v>77153627</v>
      </c>
      <c r="H494" s="2" t="s">
        <v>496</v>
      </c>
      <c r="I494" s="2" t="s">
        <v>497</v>
      </c>
      <c r="J494" s="2" t="s">
        <v>23</v>
      </c>
      <c r="K494" s="3" t="s">
        <v>24</v>
      </c>
      <c r="L494" s="2" t="s">
        <v>624</v>
      </c>
      <c r="M494" s="3">
        <v>32017</v>
      </c>
      <c r="N494" s="3" t="s">
        <v>26</v>
      </c>
      <c r="O494" s="3">
        <v>2266208.08</v>
      </c>
      <c r="P494" s="2" t="s">
        <v>27</v>
      </c>
    </row>
    <row r="495" spans="1:16" outlineLevel="2">
      <c r="A495" s="2" t="s">
        <v>861</v>
      </c>
      <c r="B495" s="2" t="s">
        <v>862</v>
      </c>
      <c r="C495" s="2" t="s">
        <v>188</v>
      </c>
      <c r="D495" s="3">
        <v>2177967.08</v>
      </c>
      <c r="E495" s="2" t="s">
        <v>865</v>
      </c>
      <c r="F495" s="4">
        <v>46234</v>
      </c>
      <c r="G495" s="5">
        <v>77153627</v>
      </c>
      <c r="H495" s="2" t="s">
        <v>496</v>
      </c>
      <c r="I495" s="2" t="s">
        <v>866</v>
      </c>
      <c r="J495" s="2" t="s">
        <v>23</v>
      </c>
      <c r="K495" s="3" t="s">
        <v>24</v>
      </c>
      <c r="L495" s="2" t="s">
        <v>624</v>
      </c>
      <c r="M495" s="3">
        <v>20000</v>
      </c>
      <c r="N495" s="3" t="s">
        <v>26</v>
      </c>
      <c r="O495" s="3">
        <v>2286208.08</v>
      </c>
      <c r="P495" s="2" t="s">
        <v>27</v>
      </c>
    </row>
    <row r="496" spans="1:16" outlineLevel="2">
      <c r="A496" s="2" t="s">
        <v>861</v>
      </c>
      <c r="B496" s="2" t="s">
        <v>862</v>
      </c>
      <c r="C496" s="2" t="s">
        <v>188</v>
      </c>
      <c r="D496" s="3">
        <v>2177967.08</v>
      </c>
      <c r="E496" s="2" t="s">
        <v>867</v>
      </c>
      <c r="F496" s="4">
        <v>46234</v>
      </c>
      <c r="G496" s="5">
        <v>77153627</v>
      </c>
      <c r="H496" s="2" t="s">
        <v>496</v>
      </c>
      <c r="I496" s="2" t="s">
        <v>499</v>
      </c>
      <c r="J496" s="2" t="s">
        <v>23</v>
      </c>
      <c r="K496" s="3" t="s">
        <v>24</v>
      </c>
      <c r="L496" s="2" t="s">
        <v>624</v>
      </c>
      <c r="M496" s="3">
        <v>278224</v>
      </c>
      <c r="N496" s="3" t="s">
        <v>26</v>
      </c>
      <c r="O496" s="3">
        <v>2564432.08</v>
      </c>
      <c r="P496" s="2" t="s">
        <v>27</v>
      </c>
    </row>
    <row r="497" spans="1:16" outlineLevel="2">
      <c r="A497" s="2" t="s">
        <v>861</v>
      </c>
      <c r="B497" s="2" t="s">
        <v>862</v>
      </c>
      <c r="C497" s="2" t="s">
        <v>188</v>
      </c>
      <c r="D497" s="3">
        <v>2177967.08</v>
      </c>
      <c r="E497" s="2" t="s">
        <v>868</v>
      </c>
      <c r="F497" s="4">
        <v>46234</v>
      </c>
      <c r="G497" s="5">
        <v>901941781</v>
      </c>
      <c r="H497" s="2" t="s">
        <v>493</v>
      </c>
      <c r="I497" s="2" t="s">
        <v>869</v>
      </c>
      <c r="J497" s="2" t="s">
        <v>23</v>
      </c>
      <c r="K497" s="3" t="s">
        <v>24</v>
      </c>
      <c r="L497" s="2" t="s">
        <v>624</v>
      </c>
      <c r="M497" s="3">
        <v>17000</v>
      </c>
      <c r="N497" s="3" t="s">
        <v>26</v>
      </c>
      <c r="O497" s="3">
        <v>2581432.08</v>
      </c>
      <c r="P497" s="2" t="s">
        <v>27</v>
      </c>
    </row>
    <row r="498" spans="1:16" outlineLevel="2">
      <c r="A498" s="2" t="s">
        <v>861</v>
      </c>
      <c r="B498" s="2" t="s">
        <v>862</v>
      </c>
      <c r="C498" s="2" t="s">
        <v>188</v>
      </c>
      <c r="D498" s="3">
        <v>2177967.08</v>
      </c>
      <c r="E498" s="2" t="s">
        <v>870</v>
      </c>
      <c r="F498" s="4">
        <v>46234</v>
      </c>
      <c r="G498" s="5">
        <v>77154688</v>
      </c>
      <c r="H498" s="2" t="s">
        <v>501</v>
      </c>
      <c r="I498" s="2" t="s">
        <v>502</v>
      </c>
      <c r="J498" s="2" t="s">
        <v>23</v>
      </c>
      <c r="K498" s="3" t="s">
        <v>24</v>
      </c>
      <c r="L498" s="2" t="s">
        <v>624</v>
      </c>
      <c r="M498" s="3">
        <v>79832</v>
      </c>
      <c r="N498" s="3" t="s">
        <v>26</v>
      </c>
      <c r="O498" s="3">
        <v>2661264.08</v>
      </c>
      <c r="P498" s="2" t="s">
        <v>27</v>
      </c>
    </row>
    <row r="499" spans="1:16" outlineLevel="2">
      <c r="A499" s="2" t="s">
        <v>861</v>
      </c>
      <c r="B499" s="2" t="s">
        <v>862</v>
      </c>
      <c r="C499" s="2" t="s">
        <v>188</v>
      </c>
      <c r="D499" s="3">
        <v>2177967.08</v>
      </c>
      <c r="E499" s="2" t="s">
        <v>871</v>
      </c>
      <c r="F499" s="4">
        <v>46234</v>
      </c>
      <c r="G499" s="5">
        <v>1193224566</v>
      </c>
      <c r="H499" s="2" t="s">
        <v>287</v>
      </c>
      <c r="I499" s="2" t="s">
        <v>872</v>
      </c>
      <c r="J499" s="2" t="s">
        <v>23</v>
      </c>
      <c r="K499" s="3" t="s">
        <v>24</v>
      </c>
      <c r="L499" s="2" t="s">
        <v>624</v>
      </c>
      <c r="M499" s="3">
        <v>45000</v>
      </c>
      <c r="N499" s="3" t="s">
        <v>26</v>
      </c>
      <c r="O499" s="3">
        <v>2706264.08</v>
      </c>
      <c r="P499" s="2" t="s">
        <v>27</v>
      </c>
    </row>
    <row r="500" spans="1:16" outlineLevel="1">
      <c r="A500" s="14" t="s">
        <v>1066</v>
      </c>
      <c r="M500" s="3">
        <f>SUBTOTAL(9,M493:M499)</f>
        <v>528297</v>
      </c>
      <c r="N500" s="3">
        <f>SUBTOTAL(9,N493:N499)</f>
        <v>0</v>
      </c>
    </row>
    <row r="501" spans="1:16" outlineLevel="2">
      <c r="A501" s="2" t="s">
        <v>873</v>
      </c>
      <c r="B501" s="2" t="s">
        <v>874</v>
      </c>
      <c r="C501" s="2" t="s">
        <v>875</v>
      </c>
      <c r="D501" s="3">
        <v>230458325</v>
      </c>
      <c r="E501" s="2" t="s">
        <v>18</v>
      </c>
      <c r="F501" s="4" t="s">
        <v>19</v>
      </c>
      <c r="G501" s="5" t="s">
        <v>20</v>
      </c>
      <c r="H501" s="2" t="s">
        <v>21</v>
      </c>
      <c r="I501" s="2" t="s">
        <v>22</v>
      </c>
      <c r="J501" s="2" t="s">
        <v>23</v>
      </c>
      <c r="K501" s="3" t="s">
        <v>24</v>
      </c>
      <c r="L501" s="2" t="s">
        <v>25</v>
      </c>
      <c r="M501" s="3" t="s">
        <v>26</v>
      </c>
      <c r="N501" s="3" t="s">
        <v>26</v>
      </c>
      <c r="O501" s="3">
        <v>230458325</v>
      </c>
      <c r="P501" s="2" t="s">
        <v>27</v>
      </c>
    </row>
    <row r="502" spans="1:16" outlineLevel="1">
      <c r="A502" s="14" t="s">
        <v>1067</v>
      </c>
      <c r="M502" s="3">
        <f>SUBTOTAL(9,M501:M501)</f>
        <v>0</v>
      </c>
      <c r="N502" s="3">
        <f>SUBTOTAL(9,N501:N501)</f>
        <v>0</v>
      </c>
    </row>
    <row r="503" spans="1:16">
      <c r="A503" s="14" t="s">
        <v>1068</v>
      </c>
      <c r="M503" s="3">
        <f>SUBTOTAL(9,M8:M501)</f>
        <v>310850976.06</v>
      </c>
      <c r="N503" s="3">
        <f>SUBTOTAL(9,N8:N501)</f>
        <v>310850976.06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auxiliar.sena</dc:creator>
  <cp:lastModifiedBy>auxiliar.sena</cp:lastModifiedBy>
  <dcterms:created xsi:type="dcterms:W3CDTF">2026-08-04T17:30:22Z</dcterms:created>
  <dcterms:modified xsi:type="dcterms:W3CDTF">2026-08-04T17:31:20Z</dcterms:modified>
</cp:coreProperties>
</file>