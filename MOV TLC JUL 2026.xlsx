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andre\Downloads\Conciliacion Mensual Facturas VS Dian\Movimientos SIIGO\"/>
    </mc:Choice>
  </mc:AlternateContent>
  <xr:revisionPtr revIDLastSave="0" documentId="11_733042BE2D2A55162E31AC5CC11FD25CFD0C00EB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764" i="1" l="1"/>
  <c r="M764" i="1"/>
  <c r="N762" i="1"/>
  <c r="M762" i="1"/>
  <c r="N750" i="1"/>
  <c r="M750" i="1"/>
  <c r="N739" i="1"/>
  <c r="M739" i="1"/>
  <c r="N734" i="1"/>
  <c r="M734" i="1"/>
  <c r="N726" i="1"/>
  <c r="M726" i="1"/>
  <c r="N696" i="1"/>
  <c r="M696" i="1"/>
  <c r="N694" i="1"/>
  <c r="M694" i="1"/>
  <c r="N690" i="1"/>
  <c r="M690" i="1"/>
  <c r="N688" i="1"/>
  <c r="M688" i="1"/>
  <c r="N686" i="1"/>
  <c r="M686" i="1"/>
  <c r="N684" i="1"/>
  <c r="M684" i="1"/>
  <c r="N681" i="1"/>
  <c r="M681" i="1"/>
  <c r="N676" i="1"/>
  <c r="M676" i="1"/>
  <c r="N674" i="1"/>
  <c r="M674" i="1"/>
  <c r="N669" i="1"/>
  <c r="M669" i="1"/>
  <c r="N667" i="1"/>
  <c r="M667" i="1"/>
  <c r="N665" i="1"/>
  <c r="M665" i="1"/>
  <c r="N663" i="1"/>
  <c r="M663" i="1"/>
  <c r="N661" i="1"/>
  <c r="M661" i="1"/>
  <c r="N659" i="1"/>
  <c r="M659" i="1"/>
  <c r="N657" i="1"/>
  <c r="M657" i="1"/>
  <c r="N655" i="1"/>
  <c r="M655" i="1"/>
  <c r="N653" i="1"/>
  <c r="M653" i="1"/>
  <c r="N651" i="1"/>
  <c r="M651" i="1"/>
  <c r="N649" i="1"/>
  <c r="M649" i="1"/>
  <c r="N647" i="1"/>
  <c r="M647" i="1"/>
  <c r="N645" i="1"/>
  <c r="M645" i="1"/>
  <c r="N643" i="1"/>
  <c r="M643" i="1"/>
  <c r="N641" i="1"/>
  <c r="M641" i="1"/>
  <c r="N639" i="1"/>
  <c r="M639" i="1"/>
  <c r="N637" i="1"/>
  <c r="M637" i="1"/>
  <c r="N635" i="1"/>
  <c r="M635" i="1"/>
  <c r="N633" i="1"/>
  <c r="M633" i="1"/>
  <c r="N631" i="1"/>
  <c r="M631" i="1"/>
  <c r="N629" i="1"/>
  <c r="M629" i="1"/>
  <c r="N627" i="1"/>
  <c r="M627" i="1"/>
  <c r="N625" i="1"/>
  <c r="M625" i="1"/>
  <c r="N623" i="1"/>
  <c r="M623" i="1"/>
  <c r="N621" i="1"/>
  <c r="M621" i="1"/>
  <c r="N619" i="1"/>
  <c r="M619" i="1"/>
  <c r="N617" i="1"/>
  <c r="M617" i="1"/>
  <c r="N615" i="1"/>
  <c r="M615" i="1"/>
  <c r="N612" i="1"/>
  <c r="M612" i="1"/>
  <c r="N610" i="1"/>
  <c r="M610" i="1"/>
  <c r="N605" i="1"/>
  <c r="M605" i="1"/>
  <c r="N603" i="1"/>
  <c r="M603" i="1"/>
  <c r="N599" i="1"/>
  <c r="M599" i="1"/>
  <c r="N569" i="1"/>
  <c r="M569" i="1"/>
  <c r="N567" i="1"/>
  <c r="M567" i="1"/>
  <c r="N565" i="1"/>
  <c r="M565" i="1"/>
  <c r="N563" i="1"/>
  <c r="M563" i="1"/>
  <c r="N561" i="1"/>
  <c r="M561" i="1"/>
  <c r="N559" i="1"/>
  <c r="M559" i="1"/>
  <c r="N557" i="1"/>
  <c r="M557" i="1"/>
  <c r="N555" i="1"/>
  <c r="M555" i="1"/>
  <c r="N553" i="1"/>
  <c r="M553" i="1"/>
  <c r="N551" i="1"/>
  <c r="M551" i="1"/>
  <c r="N549" i="1"/>
  <c r="M549" i="1"/>
  <c r="N547" i="1"/>
  <c r="M547" i="1"/>
  <c r="N545" i="1"/>
  <c r="M545" i="1"/>
  <c r="N543" i="1"/>
  <c r="M543" i="1"/>
  <c r="N541" i="1"/>
  <c r="M541" i="1"/>
  <c r="N538" i="1"/>
  <c r="M538" i="1"/>
  <c r="N535" i="1"/>
  <c r="M535" i="1"/>
  <c r="N533" i="1"/>
  <c r="M533" i="1"/>
  <c r="N531" i="1"/>
  <c r="M531" i="1"/>
  <c r="N529" i="1"/>
  <c r="M529" i="1"/>
  <c r="N527" i="1"/>
  <c r="M527" i="1"/>
  <c r="N525" i="1"/>
  <c r="M525" i="1"/>
  <c r="N523" i="1"/>
  <c r="M523" i="1"/>
  <c r="N521" i="1"/>
  <c r="M521" i="1"/>
  <c r="N519" i="1"/>
  <c r="M519" i="1"/>
  <c r="N517" i="1"/>
  <c r="M517" i="1"/>
  <c r="N515" i="1"/>
  <c r="M515" i="1"/>
  <c r="N513" i="1"/>
  <c r="M513" i="1"/>
  <c r="N511" i="1"/>
  <c r="M511" i="1"/>
  <c r="N509" i="1"/>
  <c r="M509" i="1"/>
  <c r="N507" i="1"/>
  <c r="M507" i="1"/>
  <c r="N484" i="1"/>
  <c r="M484" i="1"/>
  <c r="N482" i="1"/>
  <c r="M482" i="1"/>
  <c r="N480" i="1"/>
  <c r="M480" i="1"/>
  <c r="N478" i="1"/>
  <c r="M478" i="1"/>
  <c r="N476" i="1"/>
  <c r="M476" i="1"/>
  <c r="N474" i="1"/>
  <c r="M474" i="1"/>
  <c r="N472" i="1"/>
  <c r="M472" i="1"/>
  <c r="N470" i="1"/>
  <c r="M470" i="1"/>
  <c r="N468" i="1"/>
  <c r="M468" i="1"/>
  <c r="N459" i="1"/>
  <c r="M459" i="1"/>
  <c r="N457" i="1"/>
  <c r="M457" i="1"/>
  <c r="N455" i="1"/>
  <c r="M455" i="1"/>
  <c r="N453" i="1"/>
  <c r="M453" i="1"/>
  <c r="N451" i="1"/>
  <c r="M451" i="1"/>
  <c r="N449" i="1"/>
  <c r="M449" i="1"/>
  <c r="N447" i="1"/>
  <c r="M447" i="1"/>
  <c r="N445" i="1"/>
  <c r="M445" i="1"/>
  <c r="N443" i="1"/>
  <c r="M443" i="1"/>
  <c r="N441" i="1"/>
  <c r="M441" i="1"/>
  <c r="N429" i="1"/>
  <c r="M429" i="1"/>
  <c r="N427" i="1"/>
  <c r="M427" i="1"/>
  <c r="N425" i="1"/>
  <c r="M425" i="1"/>
  <c r="N415" i="1"/>
  <c r="M415" i="1"/>
  <c r="N397" i="1"/>
  <c r="M397" i="1"/>
  <c r="N395" i="1"/>
  <c r="M395" i="1"/>
  <c r="N383" i="1"/>
  <c r="M383" i="1"/>
  <c r="N381" i="1"/>
  <c r="M381" i="1"/>
  <c r="N377" i="1"/>
  <c r="M377" i="1"/>
  <c r="N374" i="1"/>
  <c r="M374" i="1"/>
  <c r="N372" i="1"/>
  <c r="M372" i="1"/>
  <c r="N370" i="1"/>
  <c r="M370" i="1"/>
  <c r="N365" i="1"/>
  <c r="M365" i="1"/>
  <c r="N363" i="1"/>
  <c r="M363" i="1"/>
  <c r="N351" i="1"/>
  <c r="M351" i="1"/>
  <c r="N349" i="1"/>
  <c r="M349" i="1"/>
  <c r="N347" i="1"/>
  <c r="M347" i="1"/>
  <c r="N345" i="1"/>
  <c r="M345" i="1"/>
  <c r="N336" i="1"/>
  <c r="M336" i="1"/>
  <c r="N334" i="1"/>
  <c r="M334" i="1"/>
  <c r="N332" i="1"/>
  <c r="M332" i="1"/>
  <c r="N319" i="1"/>
  <c r="M319" i="1"/>
  <c r="N317" i="1"/>
  <c r="M317" i="1"/>
  <c r="N295" i="1"/>
  <c r="M295" i="1"/>
  <c r="N293" i="1"/>
  <c r="M293" i="1"/>
  <c r="N291" i="1"/>
  <c r="M291" i="1"/>
  <c r="N289" i="1"/>
  <c r="M289" i="1"/>
  <c r="N287" i="1"/>
  <c r="M287" i="1"/>
  <c r="N285" i="1"/>
  <c r="M285" i="1"/>
  <c r="N283" i="1"/>
  <c r="M283" i="1"/>
  <c r="N276" i="1"/>
  <c r="M276" i="1"/>
  <c r="N272" i="1"/>
  <c r="M272" i="1"/>
  <c r="N268" i="1"/>
  <c r="M268" i="1"/>
  <c r="N266" i="1"/>
  <c r="M266" i="1"/>
  <c r="N264" i="1"/>
  <c r="M264" i="1"/>
  <c r="N253" i="1"/>
  <c r="M253" i="1"/>
  <c r="N251" i="1"/>
  <c r="M251" i="1"/>
  <c r="N177" i="1"/>
  <c r="M177" i="1"/>
  <c r="N175" i="1"/>
  <c r="M175" i="1"/>
  <c r="N173" i="1"/>
  <c r="M173" i="1"/>
  <c r="N171" i="1"/>
  <c r="M171" i="1"/>
  <c r="N169" i="1"/>
  <c r="M169" i="1"/>
  <c r="N167" i="1"/>
  <c r="M167" i="1"/>
  <c r="N165" i="1"/>
  <c r="M165" i="1"/>
  <c r="N163" i="1"/>
  <c r="M163" i="1"/>
  <c r="N161" i="1"/>
  <c r="M161" i="1"/>
  <c r="N159" i="1"/>
  <c r="M159" i="1"/>
  <c r="N157" i="1"/>
  <c r="M157" i="1"/>
  <c r="N155" i="1"/>
  <c r="M155" i="1"/>
  <c r="N142" i="1"/>
  <c r="M142" i="1"/>
  <c r="N140" i="1"/>
  <c r="M140" i="1"/>
  <c r="N138" i="1"/>
  <c r="M138" i="1"/>
  <c r="N136" i="1"/>
  <c r="M136" i="1"/>
  <c r="N126" i="1"/>
  <c r="M126" i="1"/>
  <c r="N119" i="1"/>
  <c r="M119" i="1"/>
  <c r="N117" i="1"/>
  <c r="M117" i="1"/>
  <c r="N115" i="1"/>
  <c r="M115" i="1"/>
  <c r="N113" i="1"/>
  <c r="M113" i="1"/>
  <c r="N100" i="1"/>
  <c r="M100" i="1"/>
  <c r="N98" i="1"/>
  <c r="M98" i="1"/>
  <c r="N96" i="1"/>
  <c r="M96" i="1"/>
  <c r="N89" i="1"/>
  <c r="M89" i="1"/>
  <c r="N87" i="1"/>
  <c r="M87" i="1"/>
  <c r="N61" i="1"/>
  <c r="M61" i="1"/>
  <c r="N59" i="1"/>
  <c r="M59" i="1"/>
  <c r="N57" i="1"/>
  <c r="M57" i="1"/>
  <c r="N55" i="1"/>
  <c r="M55" i="1"/>
  <c r="N48" i="1"/>
  <c r="M48" i="1"/>
  <c r="N9" i="1"/>
  <c r="N765" i="1" s="1"/>
  <c r="M9" i="1"/>
  <c r="M765" i="1" s="1"/>
</calcChain>
</file>

<file path=xl/sharedStrings.xml><?xml version="1.0" encoding="utf-8"?>
<sst xmlns="http://schemas.openxmlformats.org/spreadsheetml/2006/main" count="6841" uniqueCount="1522">
  <si>
    <t xml:space="preserve">CUENTA   DESCRIPCION                                         </t>
  </si>
  <si>
    <t xml:space="preserve">CUENTA     </t>
  </si>
  <si>
    <t xml:space="preserve">DESCRIPCION                                       </t>
  </si>
  <si>
    <t xml:space="preserve">SALDO INICIAL    </t>
  </si>
  <si>
    <t xml:space="preserve">COMPROBANTE          </t>
  </si>
  <si>
    <t xml:space="preserve">FECHA     </t>
  </si>
  <si>
    <t xml:space="preserve">NIT          </t>
  </si>
  <si>
    <t xml:space="preserve">NOMBRE                                                                                                                                                </t>
  </si>
  <si>
    <t xml:space="preserve">INVENTARIO-CRUCE-CHEQUE                                                                 </t>
  </si>
  <si>
    <t xml:space="preserve">BASE            </t>
  </si>
  <si>
    <t xml:space="preserve">CC SCC  </t>
  </si>
  <si>
    <t xml:space="preserve">DEBITOS          </t>
  </si>
  <si>
    <t xml:space="preserve">CREDITOS         </t>
  </si>
  <si>
    <t xml:space="preserve">SALDO MOV.       </t>
  </si>
  <si>
    <t xml:space="preserve">OBSERVACION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</si>
  <si>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11051002   CAJA MENOR SABANILLA                              </t>
  </si>
  <si>
    <t xml:space="preserve">11051002   </t>
  </si>
  <si>
    <t xml:space="preserve">CAJA MENOR SABANILLA                              </t>
  </si>
  <si>
    <t xml:space="preserve">                     </t>
  </si>
  <si>
    <t>0000/00/00</t>
  </si>
  <si>
    <t xml:space="preserve">             </t>
  </si>
  <si>
    <t xml:space="preserve">                                                                                                                                                      </t>
  </si>
  <si>
    <t xml:space="preserve">                                                  </t>
  </si>
  <si>
    <t xml:space="preserve">                                                                                        </t>
  </si>
  <si>
    <t xml:space="preserve">                </t>
  </si>
  <si>
    <t xml:space="preserve">        </t>
  </si>
  <si>
    <t xml:space="preserve">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</si>
  <si>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</si>
  <si>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11100512   BANCO COLMENA BCSC                                </t>
  </si>
  <si>
    <t xml:space="preserve">11100512   </t>
  </si>
  <si>
    <t xml:space="preserve">BANCO COLMENA BCSC                                </t>
  </si>
  <si>
    <t>G 002 00000002714 002</t>
  </si>
  <si>
    <t xml:space="preserve">TECNICOS Y LOGISTICOS DEL CARIBE S.A.S            </t>
  </si>
  <si>
    <t xml:space="preserve">                                                          0000000000007                 </t>
  </si>
  <si>
    <t>G 002 00000002715 002</t>
  </si>
  <si>
    <t>R 002 00000000619 002</t>
  </si>
  <si>
    <t xml:space="preserve">CI CARBONES DE SANTANDER S.A.S.                   </t>
  </si>
  <si>
    <t>R 002 00000000620 004</t>
  </si>
  <si>
    <t>R 002 00000000621 002</t>
  </si>
  <si>
    <t xml:space="preserve">COLOMBIAN NATURAL RESOURCES II S.A.S.             </t>
  </si>
  <si>
    <t>R 002 00000000623 002</t>
  </si>
  <si>
    <t xml:space="preserve">SERVICIOS ELECTROHIDRAULICOS S.A.S                </t>
  </si>
  <si>
    <t>G 002 00000002716 002</t>
  </si>
  <si>
    <t xml:space="preserve">ALEXANDER VILLA URUETA                            </t>
  </si>
  <si>
    <t>G 002 00000002717 002</t>
  </si>
  <si>
    <t>G 002 00000002718 002</t>
  </si>
  <si>
    <t xml:space="preserve">ENLACE OPERATIVO S.A.                             </t>
  </si>
  <si>
    <t>R 002 00000000622 004</t>
  </si>
  <si>
    <t xml:space="preserve">KOMATSU COLOMBIA S.A.S                            </t>
  </si>
  <si>
    <t>G 002 00000002719 002</t>
  </si>
  <si>
    <t xml:space="preserve">JOHN GLEIDER CANTILLO AVILA                       </t>
  </si>
  <si>
    <t>G 002 00000002720 002</t>
  </si>
  <si>
    <t xml:space="preserve">RAUL ROCHA FONSECA                                </t>
  </si>
  <si>
    <t>G 002 00000002721 002</t>
  </si>
  <si>
    <t xml:space="preserve">TATIANA ANDREA PALMA PAEZ                         </t>
  </si>
  <si>
    <t>G 002 00000002722 002</t>
  </si>
  <si>
    <t>G 002 00000002723 002</t>
  </si>
  <si>
    <t xml:space="preserve">CARLOS AUGUSTO ALVAREZ CERPA                      </t>
  </si>
  <si>
    <t>G 002 00000002724 002</t>
  </si>
  <si>
    <t xml:space="preserve">FIDUCIARIA LA PREVISORA S.A.                      </t>
  </si>
  <si>
    <t>G 002 00000002725 002</t>
  </si>
  <si>
    <t xml:space="preserve">VATIA S.A. E.S.P.                                 </t>
  </si>
  <si>
    <t>G 002 00000002726 002</t>
  </si>
  <si>
    <t>G 002 00000002727 002</t>
  </si>
  <si>
    <t>G 002 00000002728 002</t>
  </si>
  <si>
    <t xml:space="preserve">ORLANDO IVAN MC KINLEY PACHECO                    </t>
  </si>
  <si>
    <t>G 002 00000002729 002</t>
  </si>
  <si>
    <t>G 002 00000002730 002</t>
  </si>
  <si>
    <t>SOCIEDAD DE ACUEDUCTO ALCANTARILLADO Y ASEO DE BAR</t>
  </si>
  <si>
    <t>R 002 00000000624 002</t>
  </si>
  <si>
    <t>G 002 00000002731 002</t>
  </si>
  <si>
    <t xml:space="preserve">ELMER ELIAS RODRIGUEZ PEREZ                       </t>
  </si>
  <si>
    <t>G 002 00000002732 002</t>
  </si>
  <si>
    <t xml:space="preserve">FREDDY BERNARDO LOPEZ VELEZ                       </t>
  </si>
  <si>
    <t>G 002 00000002733 002</t>
  </si>
  <si>
    <t>G 002 00000002734 002</t>
  </si>
  <si>
    <t>R 002 00000000625 006</t>
  </si>
  <si>
    <t>G 002 00000002735 002</t>
  </si>
  <si>
    <t>DIRECCION DE IMPUESTOS Y ADUANAS NACIONALES - DIAN</t>
  </si>
  <si>
    <t>G 002 00000002736 002</t>
  </si>
  <si>
    <t>R 002 00000000626 006</t>
  </si>
  <si>
    <t xml:space="preserve">CONSTRUCCIONES MARVAL S.A.S                       </t>
  </si>
  <si>
    <t>R 002 00000000627 002</t>
  </si>
  <si>
    <t xml:space="preserve">GRUPO EMPRESARIAL DEL CARIBE M&amp;M SAS              </t>
  </si>
  <si>
    <t>G 002 00000002737 002</t>
  </si>
  <si>
    <t>G 002 00000002738 002</t>
  </si>
  <si>
    <t xml:space="preserve">DAGOBERTO CASTRO DIAZ                             </t>
  </si>
  <si>
    <t>G 002 00000002739 002</t>
  </si>
  <si>
    <t>G 002 00000002740 002</t>
  </si>
  <si>
    <t xml:space="preserve">CONTROL FINANCIERO OUTSOURCING - CFO SAS          </t>
  </si>
  <si>
    <t>G 002 00000002741 002</t>
  </si>
  <si>
    <t>G 002 00000002742 002</t>
  </si>
  <si>
    <t xml:space="preserve">11150501   MONEDA NACIONAL                                   </t>
  </si>
  <si>
    <t xml:space="preserve">11150501   </t>
  </si>
  <si>
    <t xml:space="preserve">MONEDA NACIONAL                                   </t>
  </si>
  <si>
    <t>R 003 00000000133 004</t>
  </si>
  <si>
    <t>R 003 00000000133 005</t>
  </si>
  <si>
    <t>R 003 00000000134 005</t>
  </si>
  <si>
    <t>R 003 00000000134 006</t>
  </si>
  <si>
    <t>R 003 00000000135 003</t>
  </si>
  <si>
    <t>R 003 00000000135 004</t>
  </si>
  <si>
    <t xml:space="preserve">DOZERMAQ S.A.S                                    </t>
  </si>
  <si>
    <t xml:space="preserve">12050201   INVERSIONES EN SUBSIDIARIAS                       </t>
  </si>
  <si>
    <t xml:space="preserve">12050201   </t>
  </si>
  <si>
    <t xml:space="preserve">INVERSIONES EN SUBSIDIARIAS                       </t>
  </si>
  <si>
    <t xml:space="preserve">12050297   INVERSIONES EN SUBSIDIARIAS IFRS                  </t>
  </si>
  <si>
    <t xml:space="preserve">12050297   </t>
  </si>
  <si>
    <t xml:space="preserve">INVERSIONES EN SUBSIDIARIAS IFRS                  </t>
  </si>
  <si>
    <t xml:space="preserve">12503511   CORREVAL - FONVAL                                 </t>
  </si>
  <si>
    <t xml:space="preserve">12503511   </t>
  </si>
  <si>
    <t xml:space="preserve">CORREVAL - FONVAL                                 </t>
  </si>
  <si>
    <t xml:space="preserve">13050501   NACIONALES                                        </t>
  </si>
  <si>
    <t xml:space="preserve">13050501   </t>
  </si>
  <si>
    <t xml:space="preserve">NACIONALES                                        </t>
  </si>
  <si>
    <t>R 002 00000000620 001</t>
  </si>
  <si>
    <t xml:space="preserve">CI CARBONES DE SANTANDER S.A.S.                                                                                                                       </t>
  </si>
  <si>
    <t>TLE-1048 RECAUDO FV - CI CARBONES DE SANTANDER S.A</t>
  </si>
  <si>
    <t xml:space="preserve">F-TLE-00000001048-001                                                                   </t>
  </si>
  <si>
    <t>R 002 00000000620 002</t>
  </si>
  <si>
    <t>TLE-1058 RECAUDO FV - CI CARBONES DE SANTANDER S.A</t>
  </si>
  <si>
    <t xml:space="preserve">F-TLE-00000001058-001                                                                   </t>
  </si>
  <si>
    <t>R 003 00000000133 001</t>
  </si>
  <si>
    <t xml:space="preserve">Revierte R003-131 CRUCE FV TLE-1048 CON ANTICIP - </t>
  </si>
  <si>
    <t>R 002 00000000622 001</t>
  </si>
  <si>
    <t xml:space="preserve">KOMATSU COLOMBIA S.A.S                                                                                                                                </t>
  </si>
  <si>
    <t xml:space="preserve">TLE-1049 RECAUDO FV - KOMATSU COLOMBIA S.A.S      </t>
  </si>
  <si>
    <t xml:space="preserve">F-TLE-00000001049-001                                                                   </t>
  </si>
  <si>
    <t>F 003 00000001059 002</t>
  </si>
  <si>
    <t xml:space="preserve">CONSTRUCCIONES MARVAL S.A.S                                                                                                                           </t>
  </si>
  <si>
    <t xml:space="preserve">F-TLE-00000001059-001                                                                   </t>
  </si>
  <si>
    <t xml:space="preserve">ORDEN DE COMPRA No 26000009 000 O5 Proyecto: 024750101000  C DEL PARQUE LOS FLAMENCOS E1 REF. 26000009O500915 Contr ato No. O5 26000009 - Acta No. OV 26000815 SERV MIN PREV  SISTEMA ELECTRIC   EN CASO DE APLICAR RETEICA - FAVOR PAG AR EN EL DISTRITO DE BARRANQUILLA CON LA TARIFA DEL 12.5  x MIL COD. 308   FAVOR CONSIGNAR EN LA CUENTA CORRIENTE N ° 21003800136 DEL BANCO CAJA SOCIAL A NOMBRE DE TECNICOS  Y LOGISTICOS DEL CARIBE SAS                                                                                                                                                                       </t>
  </si>
  <si>
    <t>F 003 00000001060 004</t>
  </si>
  <si>
    <t xml:space="preserve">SERVICIOS ELECTROHIDRAULICOS S.A.S                                                                                                                    </t>
  </si>
  <si>
    <t xml:space="preserve">F-TLE-00000001060-001                                                                   </t>
  </si>
  <si>
    <t xml:space="preserve">ORDEN DE COMPRA 156 REQUISICIÓN 510M COT 1288 metalizado  de 1 puesto de rodamiento de MF#2 773F    EN CASO DE APLI CAR RETEICA - FAVOR PAGAR EN EL DISTRITO DE BARRANQUILLA  CON LA TARIFA DEL 12.5 x MIL COD. 308   FAVOR CONSIGNAR E N LA CUENTA CORRIENTE N° 21003800136 DEL BANCO CAJA SOCIA L A NOMBRE DE TECNICOS Y LOGISTICOS DEL CARIBE SAS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</si>
  <si>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 003 00000001061 004</t>
  </si>
  <si>
    <t xml:space="preserve">F-TLE-00000001061-001                                                                   </t>
  </si>
  <si>
    <t xml:space="preserve">ORDEN DE COMPRA 157 REQUISICIÓN 512M COT 1289 metalizado  de pista de rodamiento de spindle MF 773F#1.   EN CASO DE  APLICAR RETEICA - FAVOR PAGAR EN EL DISTRITO DE BARRANQU ILLA CON LA TARIFA DEL 12.5 x MIL COD. 308   FAVOR CONSIG NAR EN LA CUENTA CORRIENTE N° 21003800136 DEL BANCO CAJA  SOCIAL A NOMBRE DE TECNICOS Y LOGISTICOS DEL CARIBE SAS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</si>
  <si>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 003 00000001062 002</t>
  </si>
  <si>
    <t xml:space="preserve">F-TLE-00000001062-001                                                                   </t>
  </si>
  <si>
    <t xml:space="preserve">ORDEN DE COMPRA No. 61815 tk 35093 RECONSTRUCCIÓN - OV 10 03809 - Cot: 1318 - TLC - Basado en Solicitud de compra 4 4308   EN CASO DE APLICAR RETEICA - FAVOR PAGAR EN EL DIS TRITO DE BARRANQUILLA CON LA TARIFA DEL 12.5 x MIL COD. 3 08   FAVOR CONSIGNAR EN LA CUENTA CORRIENTE N° 2100380013 6 DEL BANCO CAJA SOCIAL A NOMBRE DE TECNICOS Y LOGISTICOS  DEL CARIBE SAS                                                                                                                                                                                                                                             </t>
  </si>
  <si>
    <t>F 003 00000001063 002</t>
  </si>
  <si>
    <t xml:space="preserve">F-TLE-00000001063-001                                                                   </t>
  </si>
  <si>
    <t xml:space="preserve">ORDEN DE COMPRA No. 61819 tk 35093 RECONSTRUCCIÓN - OV 10 03668 - Cot: 13120 - TLC Basado en Solicitud de compra 44 348.   EN CASO DE APLICAR RETEICA - FAVOR PAGAR EN EL DIS TRITO DE BARRANQUILLA CON LA TARIFA DEL 12.5 x MIL COD. 3 08   FAVOR CONSIGNAR EN LA CUENTA CORRIENTE N° 2100380013 6 DEL BANCO CAJA SOCIAL A NOMBRE DE TECNICOS Y LOGISTICOS  DEL CARIBE SAS                                                                                                                                                                                                                                             </t>
  </si>
  <si>
    <t>F 003 00000001064 002</t>
  </si>
  <si>
    <t xml:space="preserve">F-TLE-00000001064-001                                                                   </t>
  </si>
  <si>
    <t xml:space="preserve">Orden de compra No 5323 SERVICIO DE MANTENIMIENTO Y REPAR ACION JULIO 2026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</si>
  <si>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 003 00000001065 002</t>
  </si>
  <si>
    <t xml:space="preserve">GRUPO EMPRESARIAL DEL CARIBE M&amp;M SAS                                                                                                                  </t>
  </si>
  <si>
    <t xml:space="preserve">F-TLE-00000001065-001                                                                   </t>
  </si>
  <si>
    <t xml:space="preserve">SERVICIO DE TRANSPORTE DE CARGA - JULIO 2026   EN CASO DE  APLICAR RETEICA - FAVOR PAGAR EN EL DISTRITO DE BARRANQU ILLA CON LA TARIFA DEL 12.5 x MIL COD. 308   FAVOR CONSIG NAR EN LA CUENTA CORRIENTE N° 21003800136 DEL BANCO CAJA  SOCIAL A NOMBRE DE TECNICOS Y LOGISTICOS DEL CARIBE SAS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</si>
  <si>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 003 00000001066 003</t>
  </si>
  <si>
    <t xml:space="preserve">TERMO CARIBE S A S. E.S.P                                                                                                                             </t>
  </si>
  <si>
    <t xml:space="preserve">TERMO CARIBE S A S. E.S.P                         </t>
  </si>
  <si>
    <t xml:space="preserve">F-TLE-00000001066-001                                                                   </t>
  </si>
  <si>
    <t xml:space="preserve">ORDEN DE COMPRA Y-001-1293  COTIZACIÓN 1270  OT: TLC00349 0    EN CASO DE APLICAR RETEICA - FAVOR PAGAR EN EL DISTR ITO DE BARRANQUILLA CON LA TARIFA DEL 12.5 x MIL COD. 308    FAVOR CONSIGNAR EN LA CUENTA CORRIENTE N° 21003800136  DEL BANCO CAJA SOCIAL A NOMBRE DE TECNICOS Y LOGISTICOS D EL CARIBE SAS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</si>
  <si>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R 002 00000000625 001</t>
  </si>
  <si>
    <t xml:space="preserve">TLE-1054 RECAUDO FV - KOMATSU COLOMBIA S.A.S      </t>
  </si>
  <si>
    <t xml:space="preserve">F-TLE-00000001054-001                                                                   </t>
  </si>
  <si>
    <t>R 002 00000000625 002</t>
  </si>
  <si>
    <t xml:space="preserve">TLE-1055 RECAUDO FV - KOMATSU COLOMBIA S.A.S      </t>
  </si>
  <si>
    <t xml:space="preserve">F-TLE-00000001055-001                                                                   </t>
  </si>
  <si>
    <t>F 003 00000001067 008</t>
  </si>
  <si>
    <t xml:space="preserve">DOZERMAQ S.A.S                                                                                                                                        </t>
  </si>
  <si>
    <t xml:space="preserve">F-TLE-00000001067-001                                                                   </t>
  </si>
  <si>
    <t xml:space="preserve">Orden de compra No. OC-1-4993 COTIZACIÓN No. 1266 OT: TLC 003484 Servicio de mantenimiento   EN CASO DE APLICAR RET EICA - FAVOR PAGAR EN EL DISTRITO DE BARRANQUILLA CON LA  TARIFA DEL 12.5 x MIL COD. 308   FAVOR CONSIGNAR EN LA CU ENTA CORRIENTE N° 21003800136 DEL BANCO CAJA SOCIAL A NOM BRE DE TECNICOS Y LOGISTICOS DEL CARIBE SAS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</si>
  <si>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 003 00000001068 002</t>
  </si>
  <si>
    <t xml:space="preserve">F-TLE-00000001068-001                                                                   </t>
  </si>
  <si>
    <t xml:space="preserve">ORDEN DE COMPRA No. 61924 tk 35093 RECONSTRUCCIÓN - OV 10 04018 - Cot: 1323 - TLC - Basado en Solicitud de compra 4 4625.   EN CASO DE APLICAR RETEICA - FAVOR PAGAR EN EL DI STRITO DE BARRANQUILLA CON LA TARIFA DEL 12.5 x MIL COD.  308   FAVOR CONSIGNAR EN LA CUENTA CORRIENTE N° 210038001 36 DEL BANCO CAJA SOCIAL A NOMBRE DE TECNICOS Y LOGISTICO S DEL CARIBE SAS                                                                                                                                                                                                                                            </t>
  </si>
  <si>
    <t>F 003 00000001069 002</t>
  </si>
  <si>
    <t xml:space="preserve">F-TLE-00000001069-001                                                                   </t>
  </si>
  <si>
    <t xml:space="preserve">ORDEN DE COMPRA N° 283 REQUISICIÓN N° 883M Servicio de re construcción con soldadura y maquinado de pistón de trans misión 824H OT : 116 M 1326   EN CASO DE APLICAR RETEICA  - FAVOR PAGAR EN EL DISTRITO DE BARRANQUILLA CON LA TARIF A DEL 12.5 x MIL COD. 308   FAVOR CONSIGNAR EN LA CUENTA  CORRIENTE N° 21003800136 DEL BANCO CAJA SOCIAL A NOMBRE D E TECNICOS Y LOGISTICOS DEL CARIBE SAS                                                                                                                                                                                                                      </t>
  </si>
  <si>
    <t>R 002 00000000626 001</t>
  </si>
  <si>
    <t xml:space="preserve">TLE-1050 RECAUDO FV - CONSTRUCCIONES MARVAL S.A.S </t>
  </si>
  <si>
    <t xml:space="preserve">F-TLE-00000001050-001                                                                   </t>
  </si>
  <si>
    <t>R 002 00000000626 002</t>
  </si>
  <si>
    <t xml:space="preserve">TLE-1051 RECAUDO FV - CONSTRUCCIONES MARVAL S.A.S </t>
  </si>
  <si>
    <t xml:space="preserve">F-TLE-00000001051-001                                                                   </t>
  </si>
  <si>
    <t>R 002 00000000627 001</t>
  </si>
  <si>
    <t>TLE-1054 RECAUDO FV - GRUPO EMPRESARIAL DEL CARIBE</t>
  </si>
  <si>
    <t>R 003 00000000134 001</t>
  </si>
  <si>
    <t>TLE-1060 CRUCE FV CON ANTIC - SERVICIOS ELECTROHID</t>
  </si>
  <si>
    <t>R 003 00000000134 002</t>
  </si>
  <si>
    <t>TLE-1061 CRUCE FV CON ANTIC - SERVICIOS ELECTROHID</t>
  </si>
  <si>
    <t>R 003 00000000134 003</t>
  </si>
  <si>
    <t>TLE-1069 CRUCE FV CON ANTIC - SERVICIOS ELECTROHID</t>
  </si>
  <si>
    <t>R 003 00000000135 001</t>
  </si>
  <si>
    <t xml:space="preserve">TLE-1067 CRUCE FV CON ANTIC - DOZERMAQ S.A.S      </t>
  </si>
  <si>
    <t>F 003 00000001070 002</t>
  </si>
  <si>
    <t xml:space="preserve">CNR III LTD SUCURSAL COLOMBIA EN REORGANIZACION                                                                                                       </t>
  </si>
  <si>
    <t xml:space="preserve">CNR III LTD SUCURSAL COLOMBIA EN REORGANIZACION   </t>
  </si>
  <si>
    <t xml:space="preserve">F-TLE-00000001070-001                                                                   </t>
  </si>
  <si>
    <t xml:space="preserve">ORDEN DE COMPRA 500000190 HEA: ENTRADA MERCANCÍAS 5000001 86  LEGALIZACIÓN DE REPUESTOS SOLICITADO PARA EL CARGADOR  988K POR EMEL VILLADIEGO Y RECIBIDO EN ALMACEN BAJO LA O RDEN DE COMPRA 4900003240 Y REMISION 3336 Basado en Solic itud de compra 500000183.   EN CASO DE APLICAR RETEICA -  FAVOR PAGAR EN EL DISTRITO DE BARRANQUILLA CON LA TARIFA  DEL 12.5 x MIL COD. 308  FAVOR CONSIGNAR EN LA CUENTA COR RIENTE N° 21003800136 DEL BANCO CAJA SOCIAL A NOMBRE DE T ECNICOS Y LOGISTICOS DEL CARIBE SAS                                                                                                     </t>
  </si>
  <si>
    <t xml:space="preserve">13300501   A PROVEEDORES NACIONALES                          </t>
  </si>
  <si>
    <t xml:space="preserve">13300501   </t>
  </si>
  <si>
    <t xml:space="preserve">A PROVEEDORES NACIONALES                          </t>
  </si>
  <si>
    <t xml:space="preserve">13300508   ANTICIPOS PARA COSTOS INCURRIDOS EN PROYECTOS     </t>
  </si>
  <si>
    <t xml:space="preserve">13300508   </t>
  </si>
  <si>
    <t xml:space="preserve">ANTICIPOS PARA COSTOS INCURRIDOS EN PROYECTOS     </t>
  </si>
  <si>
    <t>P 001 00000002658 005</t>
  </si>
  <si>
    <t xml:space="preserve">GESAMB LTDA.                                                                                                                                          </t>
  </si>
  <si>
    <t>FVSG3115 OC1165 PLAN DE CONTIGENCIA EMISIONES ATMO</t>
  </si>
  <si>
    <t xml:space="preserve">P-002-00000002619-001                                                                   </t>
  </si>
  <si>
    <t>P 002 00000002841 001</t>
  </si>
  <si>
    <t xml:space="preserve">ALEXANDER VILLA URUETA                                                                                                                                </t>
  </si>
  <si>
    <t xml:space="preserve">ANT1099 REPARACION DE MOTOR DE ARRAQUE            </t>
  </si>
  <si>
    <t xml:space="preserve">P-002-00000002841-001                                                                   </t>
  </si>
  <si>
    <t>P 002 00000002844 004</t>
  </si>
  <si>
    <t xml:space="preserve">CARLOS AUGUSTO ALVAREZ CERPA                                                                                                                          </t>
  </si>
  <si>
    <t xml:space="preserve">DSET1245 OC1302 SERVICIO DE REPARACION DE MOTOR   </t>
  </si>
  <si>
    <t xml:space="preserve">G-002-00000002697-002                                                                   </t>
  </si>
  <si>
    <t>P 002 00000002852 001</t>
  </si>
  <si>
    <t xml:space="preserve">FREDDY BERNARDO LOPEZ VELEZ                                                                                                                           </t>
  </si>
  <si>
    <t>ANT1100 OC1310 MATERIAL PARA REPARACION BLOQUE MOT</t>
  </si>
  <si>
    <t xml:space="preserve">P-002-00000002852-001                                                                   </t>
  </si>
  <si>
    <t>P 002 00000002854 001</t>
  </si>
  <si>
    <t xml:space="preserve">ANT1101 SERVICIO DE LAVADO  DESARME Y ARME        </t>
  </si>
  <si>
    <t xml:space="preserve">P-002-00000002854-001                                                                   </t>
  </si>
  <si>
    <t>P 002 00000002857 005</t>
  </si>
  <si>
    <t xml:space="preserve">ELE56580 OC1310 LINGOTE HIERRO FUNDIDO            </t>
  </si>
  <si>
    <t xml:space="preserve">13300509   ANTICIPOS PARA GASTOS INCURRIDOS EN OFICINA       </t>
  </si>
  <si>
    <t xml:space="preserve">13300509   </t>
  </si>
  <si>
    <t xml:space="preserve">ANTICIPOS PARA GASTOS INCURRIDOS EN OFICINA       </t>
  </si>
  <si>
    <t xml:space="preserve">13300597   ANTICIPOS Y AVANCES IFRS                          </t>
  </si>
  <si>
    <t xml:space="preserve">13300597   </t>
  </si>
  <si>
    <t xml:space="preserve">ANTICIPOS Y AVANCES IFRS                          </t>
  </si>
  <si>
    <t xml:space="preserve">13551501   SERVICIOS PERSONAS JURIDICAS 4%                   </t>
  </si>
  <si>
    <t xml:space="preserve">13551501   </t>
  </si>
  <si>
    <t xml:space="preserve">SERVICIOS PERSONAS JURIDICAS 4%                   </t>
  </si>
  <si>
    <t>F 003 00000001059 003</t>
  </si>
  <si>
    <t>F 003 00000001060 005</t>
  </si>
  <si>
    <t>F 003 00000001061 005</t>
  </si>
  <si>
    <t>F 003 00000001062 003</t>
  </si>
  <si>
    <t>F 003 00000001063 003</t>
  </si>
  <si>
    <t>F 003 00000001064 003</t>
  </si>
  <si>
    <t>F 003 00000001065 003</t>
  </si>
  <si>
    <t>F 003 00000001066 004</t>
  </si>
  <si>
    <t>F 003 00000001067 009</t>
  </si>
  <si>
    <t>F 003 00000001068 003</t>
  </si>
  <si>
    <t>F 003 00000001069 003</t>
  </si>
  <si>
    <t>F 003 00000001070 003</t>
  </si>
  <si>
    <t xml:space="preserve">13551504   RENDIMIENTOS FINANCIEROS                          </t>
  </si>
  <si>
    <t xml:space="preserve">13551504   </t>
  </si>
  <si>
    <t xml:space="preserve">RENDIMIENTOS FINANCIEROS                          </t>
  </si>
  <si>
    <t xml:space="preserve">13551505   COMPRAS EN GENERAL 2.5%                           </t>
  </si>
  <si>
    <t xml:space="preserve">13551505   </t>
  </si>
  <si>
    <t xml:space="preserve">COMPRAS EN GENERAL 2.5%                           </t>
  </si>
  <si>
    <t xml:space="preserve">13551597   RETENCION EN LA FUENTE IFRS                       </t>
  </si>
  <si>
    <t xml:space="preserve">13551597   </t>
  </si>
  <si>
    <t xml:space="preserve">RETENCION EN LA FUENTE IFRS                       </t>
  </si>
  <si>
    <t xml:space="preserve">13551701   IMPUESTO A LAS VENTAS RETENIDO                    </t>
  </si>
  <si>
    <t xml:space="preserve">13551701   </t>
  </si>
  <si>
    <t xml:space="preserve">IMPUESTO A LAS VENTAS RETENIDO                    </t>
  </si>
  <si>
    <t>F 003 00000001059 005</t>
  </si>
  <si>
    <t>F 003 00000001062 005</t>
  </si>
  <si>
    <t>F 003 00000001063 005</t>
  </si>
  <si>
    <t>F 003 00000001064 006</t>
  </si>
  <si>
    <t>F 003 00000001068 005</t>
  </si>
  <si>
    <t>F 003 00000001070 005</t>
  </si>
  <si>
    <t xml:space="preserve">13551801   IMP DE IND Y COM RET BARRANQUILLA                 </t>
  </si>
  <si>
    <t xml:space="preserve">13551801   </t>
  </si>
  <si>
    <t xml:space="preserve">IMP DE IND Y COM RET BARRANQUILLA                 </t>
  </si>
  <si>
    <t>R 002 00000000622 002</t>
  </si>
  <si>
    <t>TLE-1049 RTEICA BAQ 12.5*MIL - KOMATSU COLOMBIA S.</t>
  </si>
  <si>
    <t>F 003 00000001060 007</t>
  </si>
  <si>
    <t>F 003 00000001061 007</t>
  </si>
  <si>
    <t>F 003 00000001064 005</t>
  </si>
  <si>
    <t>R 002 00000000625 003</t>
  </si>
  <si>
    <t>TLE-1054 RTEICA BAQ 12.5*MIL - KOMATSU COLOMBIA S.</t>
  </si>
  <si>
    <t>R 002 00000000625 004</t>
  </si>
  <si>
    <t>TLE-1055 RTEICA BAQ 12.5*MIL - KOMATSU COLOMBIA S.</t>
  </si>
  <si>
    <t>F 003 00000001069 005</t>
  </si>
  <si>
    <t>R 002 00000000626 003</t>
  </si>
  <si>
    <t>TLE-1050 RTEICA BAQ 12.5*MIL - CONSTRUCCIONES MARV</t>
  </si>
  <si>
    <t>R 002 00000000626 004</t>
  </si>
  <si>
    <t>TLE-1051 RTEICA BAQ 12.5*MIL - CONSTRUCCIONES MARV</t>
  </si>
  <si>
    <t xml:space="preserve">13552001   SOBRAN LIQUID PRIV  IMPUESTO                      </t>
  </si>
  <si>
    <t xml:space="preserve">13552001   </t>
  </si>
  <si>
    <t xml:space="preserve">SOBRAN LIQUID PRIV  IMPUESTO                      </t>
  </si>
  <si>
    <t xml:space="preserve">13552005   SOBRAN LIQUID PRIV  IMP ICA                       </t>
  </si>
  <si>
    <t xml:space="preserve">13552005   </t>
  </si>
  <si>
    <t xml:space="preserve">SOBRAN LIQUID PRIV  IMP ICA                       </t>
  </si>
  <si>
    <t xml:space="preserve">13552097   SOBRANT EN LIQUIDACION PRIVADA DE IMPTO IFRS      </t>
  </si>
  <si>
    <t xml:space="preserve">13552097   </t>
  </si>
  <si>
    <t xml:space="preserve">SOBRANT EN LIQUIDACION PRIVADA DE IMPTO IFRS      </t>
  </si>
  <si>
    <t xml:space="preserve">13559504   AUTO RETENCION RENTA (ANTES CREE)                 </t>
  </si>
  <si>
    <t xml:space="preserve">13559504   </t>
  </si>
  <si>
    <t xml:space="preserve">AUTO RETENCION RENTA (ANTES CREE)                 </t>
  </si>
  <si>
    <t>F 003 00000001059 006</t>
  </si>
  <si>
    <t xml:space="preserve">AUTORRETENCION DEC. 2201                          </t>
  </si>
  <si>
    <t>F 003 00000001060 008</t>
  </si>
  <si>
    <t>F 003 00000001061 008</t>
  </si>
  <si>
    <t>F 003 00000001062 006</t>
  </si>
  <si>
    <t>F 003 00000001063 006</t>
  </si>
  <si>
    <t>F 003 00000001064 007</t>
  </si>
  <si>
    <t>F 003 00000001065 004</t>
  </si>
  <si>
    <t>F 003 00000001066 006</t>
  </si>
  <si>
    <t>F 003 00000001067 011</t>
  </si>
  <si>
    <t>F 003 00000001068 006</t>
  </si>
  <si>
    <t>F 003 00000001069 006</t>
  </si>
  <si>
    <t>F 003 00000001070 006</t>
  </si>
  <si>
    <t xml:space="preserve">13559507   RETENCION PAGADA EN EXCESO                        </t>
  </si>
  <si>
    <t xml:space="preserve">13559507   </t>
  </si>
  <si>
    <t xml:space="preserve">RETENCION PAGADA EN EXCESO                        </t>
  </si>
  <si>
    <t xml:space="preserve">13559597   OTROS IFRS                                        </t>
  </si>
  <si>
    <t xml:space="preserve">13559597   </t>
  </si>
  <si>
    <t xml:space="preserve">OTROS IFRS                                        </t>
  </si>
  <si>
    <t xml:space="preserve">13653001   RESPONSABILIDADES                                 </t>
  </si>
  <si>
    <t xml:space="preserve">13653001   </t>
  </si>
  <si>
    <t xml:space="preserve">RESPONSABILIDADES                                 </t>
  </si>
  <si>
    <t xml:space="preserve">13802001   CUENTAS POR COBRAR DE TERCEROS                    </t>
  </si>
  <si>
    <t xml:space="preserve">13802001   </t>
  </si>
  <si>
    <t xml:space="preserve">CUENTAS POR COBRAR DE TERCEROS                    </t>
  </si>
  <si>
    <t xml:space="preserve">13809502   OTROS EMPRESARIALES                               </t>
  </si>
  <si>
    <t xml:space="preserve">13809502   </t>
  </si>
  <si>
    <t xml:space="preserve">OTROS EMPRESARIALES                               </t>
  </si>
  <si>
    <t xml:space="preserve">13990501   CLIENTES                                          </t>
  </si>
  <si>
    <t xml:space="preserve">13990501   </t>
  </si>
  <si>
    <t xml:space="preserve">CLIENTES                                          </t>
  </si>
  <si>
    <t xml:space="preserve">13990597   CLIENTES IFRS                                     </t>
  </si>
  <si>
    <t xml:space="preserve">13990597   </t>
  </si>
  <si>
    <t xml:space="preserve">CLIENTES IFRS                                     </t>
  </si>
  <si>
    <t xml:space="preserve">15400501   AUTOS  CAMIONETAS Y CAMPEROS                      </t>
  </si>
  <si>
    <t xml:space="preserve">15400501   </t>
  </si>
  <si>
    <t xml:space="preserve">AUTOS  CAMIONETAS Y CAMPEROS                      </t>
  </si>
  <si>
    <t xml:space="preserve">15923501   FLOTA Y EQUIPO DE TRANSPORTE                      </t>
  </si>
  <si>
    <t xml:space="preserve">15923501   </t>
  </si>
  <si>
    <t xml:space="preserve">FLOTA Y EQUIPO DE TRANSPORTE                      </t>
  </si>
  <si>
    <t xml:space="preserve">17959597   ACTIVO POR IMPUESTO DIFERIDO IFRS                 </t>
  </si>
  <si>
    <t xml:space="preserve">17959597   </t>
  </si>
  <si>
    <t xml:space="preserve">ACTIVO POR IMPUESTO DIFERIDO IFRS                 </t>
  </si>
  <si>
    <t xml:space="preserve">22050101   NACIONALES                                        </t>
  </si>
  <si>
    <t xml:space="preserve">22050101   </t>
  </si>
  <si>
    <t xml:space="preserve">22050501   PROVEEDORES NACIONALES                            </t>
  </si>
  <si>
    <t xml:space="preserve">22050501   </t>
  </si>
  <si>
    <t xml:space="preserve">PROVEEDORES NACIONALES                            </t>
  </si>
  <si>
    <t>P 002 00000002838 001</t>
  </si>
  <si>
    <t xml:space="preserve">JOHN GLEIDER CANTILLO AVILA                                                                                                                           </t>
  </si>
  <si>
    <t>DSET1243 OC1292 SERVICIO DE REPARACION DE PORTABEA</t>
  </si>
  <si>
    <t xml:space="preserve">P-003-00020260701-001                                                                   </t>
  </si>
  <si>
    <t>P 002 00000002838 004</t>
  </si>
  <si>
    <t xml:space="preserve">P-002-00000001243-001                                                                   </t>
  </si>
  <si>
    <t>P 003 00000001243 002</t>
  </si>
  <si>
    <t>P 001 00000002658 006</t>
  </si>
  <si>
    <t xml:space="preserve">GESAMB LTDA.                                      </t>
  </si>
  <si>
    <t xml:space="preserve">P-001-00000003115-001                                                                   </t>
  </si>
  <si>
    <t>P 002 00000002839 002</t>
  </si>
  <si>
    <t xml:space="preserve">VATIA S.A. E.S.P.                                                                                                                                     </t>
  </si>
  <si>
    <t xml:space="preserve">P-002-00000742585-001                                                                   </t>
  </si>
  <si>
    <t>G 002 00000002719 001</t>
  </si>
  <si>
    <t>PAG ANTIC OC-1292 SERV REPARAC - JOHN GLEIDER CANT</t>
  </si>
  <si>
    <t>G 002 00000002720 001</t>
  </si>
  <si>
    <t xml:space="preserve">RAUL ROCHA FONSECA                                                                                                                                    </t>
  </si>
  <si>
    <t xml:space="preserve">PAG CC SERV BUJES OC1270 - RAUL ROCHA FONSECA     </t>
  </si>
  <si>
    <t xml:space="preserve">P-002-00000001244-001                                                                   </t>
  </si>
  <si>
    <t>P 002 00000002840 001</t>
  </si>
  <si>
    <t>DSET1244 OC1270 SERVICIO DE FABRICACION DE BUJES Y</t>
  </si>
  <si>
    <t xml:space="preserve">P-003-00020260707-001                                                                   </t>
  </si>
  <si>
    <t>P 002 00000002840 004</t>
  </si>
  <si>
    <t>P 003 00000001244 002</t>
  </si>
  <si>
    <t>P 002 00000002867 003</t>
  </si>
  <si>
    <t xml:space="preserve">P-002-00000102384-001                                                                   </t>
  </si>
  <si>
    <t>P 002 00000002841 002</t>
  </si>
  <si>
    <t xml:space="preserve">P-002-00000001099-001                                                                   </t>
  </si>
  <si>
    <t>P 002 00000002842 004</t>
  </si>
  <si>
    <t xml:space="preserve">ORLANDO IVAN MC KINLEY PACHECO                                                                                                                        </t>
  </si>
  <si>
    <t xml:space="preserve">P-002-00000000440-001                                                                   </t>
  </si>
  <si>
    <t>P 002 00000002843 002</t>
  </si>
  <si>
    <t xml:space="preserve">P-002-00000000441-001                                                                   </t>
  </si>
  <si>
    <t>G 002 00000002722 001</t>
  </si>
  <si>
    <t xml:space="preserve">PAG ANTIC REPARAC MOTOR - ALEXANDER VILLA URUETA  </t>
  </si>
  <si>
    <t>G 002 00000002723 001</t>
  </si>
  <si>
    <t>PAG CC SERV REPARAC MOTOR OC-1302 - CARLOS AUGUSTO</t>
  </si>
  <si>
    <t xml:space="preserve">P-002-00000001245-001                                                                   </t>
  </si>
  <si>
    <t>G 002 00000002725 001</t>
  </si>
  <si>
    <t xml:space="preserve">PAG FC 742585 SERV ENERG - VATIA S.A. E.S.P.      </t>
  </si>
  <si>
    <t>P 001 00000002661 004</t>
  </si>
  <si>
    <t xml:space="preserve">SYS MAQUINADOS INDUSTRIALES SAS                                                                                                                       </t>
  </si>
  <si>
    <t xml:space="preserve">SYS MAQUINADOS INDUSTRIALES SAS                   </t>
  </si>
  <si>
    <t xml:space="preserve">P-001-00000000742-001                                                                   </t>
  </si>
  <si>
    <t>P 002 00000002844 001</t>
  </si>
  <si>
    <t xml:space="preserve">P-003-00020260710-001                                                                   </t>
  </si>
  <si>
    <t>P 002 00000002844 005</t>
  </si>
  <si>
    <t>P 003 00000001245 002</t>
  </si>
  <si>
    <t>G 002 00000002728 001</t>
  </si>
  <si>
    <t>PAG FC-441 COMPRA CARG PORTAT - ORLANDO IVAN MC KI</t>
  </si>
  <si>
    <t>G 002 00000002729 001</t>
  </si>
  <si>
    <t>PAG FC-440 REPARAC PORTAT - ORLANDO IVAN MC KINLEY</t>
  </si>
  <si>
    <t>P 002 00000002847 003</t>
  </si>
  <si>
    <t xml:space="preserve">P-002-00000022988-001                                                                   </t>
  </si>
  <si>
    <t>G 002 00000002730 001</t>
  </si>
  <si>
    <t xml:space="preserve">SOCIEDAD DE ACUEDUCTO ALCANTARILLADO Y ASEO DE BARRANQUILLA S.A. E.S.P.                                                                               </t>
  </si>
  <si>
    <t>PAG FC 73431822 SERV ACUED JUL-26 - SOCIEDAD DE AC</t>
  </si>
  <si>
    <t xml:space="preserve">P-002-00073431822-001                                                                   </t>
  </si>
  <si>
    <t>P 001 00000002662 004</t>
  </si>
  <si>
    <t xml:space="preserve">C&amp;A 6SIGMA CORP SAS                                                                                                                                   </t>
  </si>
  <si>
    <t xml:space="preserve">C&amp;A 6SIGMA CORP SAS                               </t>
  </si>
  <si>
    <t xml:space="preserve">P-001-00000000481-001                                                                   </t>
  </si>
  <si>
    <t>P 002 00000002846 006</t>
  </si>
  <si>
    <t xml:space="preserve">DAGOBERTO CASTRO DIAZ                                                                                                                                 </t>
  </si>
  <si>
    <t xml:space="preserve">P-002-00020260709-001                                                                   </t>
  </si>
  <si>
    <t>P 002 00000002848 001</t>
  </si>
  <si>
    <t>DSET1247 OC1297 SERVICIO DE REPARACION DE PORTABEA</t>
  </si>
  <si>
    <t>P 002 00000002848 004</t>
  </si>
  <si>
    <t xml:space="preserve">P-002-00000001246-001                                                                   </t>
  </si>
  <si>
    <t>P 002 00000002849 002</t>
  </si>
  <si>
    <t>P 002 00000002850 005</t>
  </si>
  <si>
    <t xml:space="preserve">CONTROL FINANCIERO OUTSOURCING - CFO SAS                                                                                                              </t>
  </si>
  <si>
    <t xml:space="preserve">P-002-00000001764-001                                                                   </t>
  </si>
  <si>
    <t>P 002 00000002851 005</t>
  </si>
  <si>
    <t xml:space="preserve">P-002-00000001765-001                                                                   </t>
  </si>
  <si>
    <t>P 003 00000001246 002</t>
  </si>
  <si>
    <t>G 002 00000002731 001</t>
  </si>
  <si>
    <t xml:space="preserve">ELMER ELIAS RODRIGUEZ PEREZ                                                                                                                           </t>
  </si>
  <si>
    <t>PAG CC OC-1246 SERV MAQUINADO - ELMER ELIAS RODRIG</t>
  </si>
  <si>
    <t xml:space="preserve">P-002-00000001247-001                                                                   </t>
  </si>
  <si>
    <t>G 002 00000002732 001</t>
  </si>
  <si>
    <t>PAG ANTIC OC-1310 MATERIALES - FREDDY BERNARDO LOP</t>
  </si>
  <si>
    <t xml:space="preserve">P-002-00000001100-001                                                                   </t>
  </si>
  <si>
    <t>G 002 00000002733 001</t>
  </si>
  <si>
    <t>PAG CC OC-1297 SERV REPARAC - JOHN GLEIDER CANTILL</t>
  </si>
  <si>
    <t>G 002 00000002734 001</t>
  </si>
  <si>
    <t>PAG ANTIC SERV LAVADO MOTOR - CARLOS AUGUSTO ALVAR</t>
  </si>
  <si>
    <t xml:space="preserve">P-002-00000001101-001                                                                   </t>
  </si>
  <si>
    <t>P 001 00000002659 003</t>
  </si>
  <si>
    <t xml:space="preserve">DISTRIBUIDORA ASEOTEC S A S                                                                                                                           </t>
  </si>
  <si>
    <t xml:space="preserve">DISTRIBUIDORA ASEOTEC S A S                       </t>
  </si>
  <si>
    <t xml:space="preserve">P-001-00000126026-001                                                                   </t>
  </si>
  <si>
    <t>P 002 00000002852 002</t>
  </si>
  <si>
    <t>P 002 00000002853 001</t>
  </si>
  <si>
    <t>DSET1247 OC1246 SERVICIO DE MAQUINADO DE TAPA PORT</t>
  </si>
  <si>
    <t xml:space="preserve">P-003-00020260721-001                                                                   </t>
  </si>
  <si>
    <t>P 002 00000002853 004</t>
  </si>
  <si>
    <t>P 002 00000002854 002</t>
  </si>
  <si>
    <t>P 003 00000001247 002</t>
  </si>
  <si>
    <t>P 002 00000002858 001</t>
  </si>
  <si>
    <t xml:space="preserve">DSET1248 OC1247 MAQUINADO DE TAPA PORTABEARING    </t>
  </si>
  <si>
    <t>P 002 00000002858 004</t>
  </si>
  <si>
    <t xml:space="preserve">P-002-00000001248-001                                                                   </t>
  </si>
  <si>
    <t>P 003 00000001248 002</t>
  </si>
  <si>
    <t>G 002 00000002737 001</t>
  </si>
  <si>
    <t xml:space="preserve">PAG REEMB GTOS - ALEXANDER VILLA URUETA           </t>
  </si>
  <si>
    <t>G 002 00000002738 001</t>
  </si>
  <si>
    <t xml:space="preserve">PAG REEMB GTOS - DAGOBERTO CASTRO DIAZ            </t>
  </si>
  <si>
    <t>G 002 00000002739 001</t>
  </si>
  <si>
    <t>PAG CC OC-1247 MAQUINAD - ELMER ELIAS RODRIGUEZ PE</t>
  </si>
  <si>
    <t>P 003 00000001249 002</t>
  </si>
  <si>
    <t xml:space="preserve">SINDY STEFFANY QUINTERO MOLINA                                                                                                                        </t>
  </si>
  <si>
    <t xml:space="preserve">SINDY STEFFANY QUINTERO MOLINA                    </t>
  </si>
  <si>
    <t xml:space="preserve">P-003-00000001249-001                                                                   </t>
  </si>
  <si>
    <t>G 002 00000002740 001</t>
  </si>
  <si>
    <t>PAG CE-1710 SERV MAY-2026 - CONTROL FINANCIERO OUT</t>
  </si>
  <si>
    <t xml:space="preserve">P-002-00000001710-001                                                                   </t>
  </si>
  <si>
    <t>G 002 00000002741 001</t>
  </si>
  <si>
    <t>PAG CE-1711 SERV MAY-26 - CONTROL FINANCIERO OUTSO</t>
  </si>
  <si>
    <t xml:space="preserve">P-002-00000001711-001                                                                   </t>
  </si>
  <si>
    <t>P 002 00000002861 001</t>
  </si>
  <si>
    <t xml:space="preserve">SANTA MARIA DEL MAR S.A.S                                                                                                                             </t>
  </si>
  <si>
    <t xml:space="preserve">CM711 FEPS35658 REEMBOLSO CM                      </t>
  </si>
  <si>
    <t xml:space="preserve">P-004-00000035658-001                                                                   </t>
  </si>
  <si>
    <t>P 002 00000002862 001</t>
  </si>
  <si>
    <t xml:space="preserve">KOBA COLOMBIA S A S                                                                                                                                   </t>
  </si>
  <si>
    <t xml:space="preserve">CM711 H8L456869 REEMBOLSO CM                      </t>
  </si>
  <si>
    <t xml:space="preserve">P-004-00000056869-001                                                                   </t>
  </si>
  <si>
    <t>P 002 00000002862 002</t>
  </si>
  <si>
    <t xml:space="preserve">TORNILLOS HERRAMIENTAS &amp; ESPECIALIDADES S.A.S                                                                                                         </t>
  </si>
  <si>
    <t xml:space="preserve">CM711 BQ15448 REEMBOLSO CM                        </t>
  </si>
  <si>
    <t xml:space="preserve">P-004-00000015448-001                                                                   </t>
  </si>
  <si>
    <t>P 002 00000002862 003</t>
  </si>
  <si>
    <t xml:space="preserve">FERREMATERIALES LAS TRES PIEDRAS SALGAR S.A.S                                                                                                         </t>
  </si>
  <si>
    <t xml:space="preserve">CM711 FMSE101061 REEMBOLSO CM                     </t>
  </si>
  <si>
    <t xml:space="preserve">P-004-00000101061-001                                                                   </t>
  </si>
  <si>
    <t>P 002 00000002864 001</t>
  </si>
  <si>
    <t xml:space="preserve">CM714 PAGO GOOGLE NUBE REEMBOLSO CM               </t>
  </si>
  <si>
    <t xml:space="preserve">P-003-00020260716-001                                                                   </t>
  </si>
  <si>
    <t>P 002 00000002864 002</t>
  </si>
  <si>
    <t xml:space="preserve">JOSE TRINIDAD CANTILLO OROZCO                                                                                                                         </t>
  </si>
  <si>
    <t xml:space="preserve">CM714 AUXILIO DE TRANSPORTE REEMBOLSO CM          </t>
  </si>
  <si>
    <t>P 002 00000002864 025</t>
  </si>
  <si>
    <t xml:space="preserve">CLAUDIA ISABEL LAMAS GERLEIN                                                                                                                          </t>
  </si>
  <si>
    <t xml:space="preserve">CM714 PARQUEADERO JULIO REEMBOLSO CM              </t>
  </si>
  <si>
    <t xml:space="preserve">P-003-00020260730-001                                                                   </t>
  </si>
  <si>
    <t>P 002 00000002864 030</t>
  </si>
  <si>
    <t xml:space="preserve">CM714 AUX TRANSPORTE REEMBOLSO CM                 </t>
  </si>
  <si>
    <t>P 003 00000001250 003</t>
  </si>
  <si>
    <t xml:space="preserve">JOSE TRINIDAD CANTILLO OROZCO                     </t>
  </si>
  <si>
    <t>P 003 00000001251 002</t>
  </si>
  <si>
    <t xml:space="preserve">CLAUDIA ISABEL LAMAS GERLEIN                      </t>
  </si>
  <si>
    <t>P 003 00000001252 002</t>
  </si>
  <si>
    <t>P 003 00000001253 003</t>
  </si>
  <si>
    <t>P 002 00000002869 001</t>
  </si>
  <si>
    <t xml:space="preserve">CM716 COMPRA DE FILTROS REEMBOLSO CM              </t>
  </si>
  <si>
    <t xml:space="preserve">P-003-00020260731-001                                                                   </t>
  </si>
  <si>
    <t>P 002 00000002869 004</t>
  </si>
  <si>
    <t xml:space="preserve">CM716 AUXILIO TRANSPORTE REEMBOLSO CM             </t>
  </si>
  <si>
    <t>P 002 00000002869 014</t>
  </si>
  <si>
    <t xml:space="preserve">CM716 AUXILIO DE TRANSPORTE REEMBOLSO CM          </t>
  </si>
  <si>
    <t xml:space="preserve">P-003-00020260718-001                                                                   </t>
  </si>
  <si>
    <t>P 002 00000002869 019</t>
  </si>
  <si>
    <t xml:space="preserve">VICTOR MIGUEL HERNANDEZ GOMEZ                                                                                                                         </t>
  </si>
  <si>
    <t>P 003 00000001255 002</t>
  </si>
  <si>
    <t>P 003 00000001256 004</t>
  </si>
  <si>
    <t>P 003 00000001257 002</t>
  </si>
  <si>
    <t>P 003 00000001258 002</t>
  </si>
  <si>
    <t xml:space="preserve">VICTOR MIGUEL HERNANDEZ GOMEZ                     </t>
  </si>
  <si>
    <t>U 002 00000000011 002</t>
  </si>
  <si>
    <t xml:space="preserve">23150101   COMPAÑIAS VINCULADAS                              </t>
  </si>
  <si>
    <t xml:space="preserve">23150101   </t>
  </si>
  <si>
    <t xml:space="preserve">COMPAÑIAS VINCULADAS                              </t>
  </si>
  <si>
    <t xml:space="preserve">23359501   OTROS                                             </t>
  </si>
  <si>
    <t xml:space="preserve">23359501   </t>
  </si>
  <si>
    <t xml:space="preserve">OTROS                                             </t>
  </si>
  <si>
    <t>G 002 00000002716 001</t>
  </si>
  <si>
    <t>PAG CM_707 REEMB CAJA MENOR - ALEXANDER VILLA URUE</t>
  </si>
  <si>
    <t xml:space="preserve">P-002-00000000707-001                                                                   </t>
  </si>
  <si>
    <t>G 002 00000002717 001</t>
  </si>
  <si>
    <t>PAG CM_708 REEMB CAJA MENOR - ALEXANDER VILLA URUE</t>
  </si>
  <si>
    <t xml:space="preserve">P-002-00000000708-001                                                                   </t>
  </si>
  <si>
    <t>G 002 00000002726 001</t>
  </si>
  <si>
    <t>PAG CM_710 REEMB CAJA MENOR - ALEXANDER VILLA URUE</t>
  </si>
  <si>
    <t xml:space="preserve">P-002-00000000710-001                                                                   </t>
  </si>
  <si>
    <t>G 002 00000002727 001</t>
  </si>
  <si>
    <t>PAG CM_709 REEMB CAJA MENOR - ALEXANDER VILLA URUE</t>
  </si>
  <si>
    <t xml:space="preserve">P-002-00000000709-001                                                                   </t>
  </si>
  <si>
    <t>P 002 00000002861 003</t>
  </si>
  <si>
    <t xml:space="preserve">P-002-00000000711-001                                                                   </t>
  </si>
  <si>
    <t>P 002 00000002862 004</t>
  </si>
  <si>
    <t xml:space="preserve">P-002-00000000712-001                                                                   </t>
  </si>
  <si>
    <t>P 002 00000002863 038</t>
  </si>
  <si>
    <t xml:space="preserve">P-002-00000000713-001                                                                   </t>
  </si>
  <si>
    <t>P 002 00000002864 031</t>
  </si>
  <si>
    <t xml:space="preserve">P-002-00000000714-001                                                                   </t>
  </si>
  <si>
    <t>P 002 00000002868 048</t>
  </si>
  <si>
    <t xml:space="preserve">P-002-00000000715-001                                                                   </t>
  </si>
  <si>
    <t>P 002 00000002869 022</t>
  </si>
  <si>
    <t xml:space="preserve">P-002-00000000716-001                                                                   </t>
  </si>
  <si>
    <t xml:space="preserve">23650101   PAGO RETEFUENTE DIAN                              </t>
  </si>
  <si>
    <t xml:space="preserve">23650101   </t>
  </si>
  <si>
    <t xml:space="preserve">PAGO RETEFUENTE DIAN                              </t>
  </si>
  <si>
    <t>G 002 00000002735 001</t>
  </si>
  <si>
    <t xml:space="preserve">DIRECCION DE IMPUESTOS Y ADUANAS NACIONALES - DIAN                                                                                                    </t>
  </si>
  <si>
    <t xml:space="preserve">PAG DECL RTEFTE JUN-26 - DIRECCION DE IMPUESTOS Y </t>
  </si>
  <si>
    <t xml:space="preserve">P-002-00000202606-001                                                                   </t>
  </si>
  <si>
    <t xml:space="preserve">23650501   SALARIOS Y PAGOS LABORALES                        </t>
  </si>
  <si>
    <t xml:space="preserve">23650501   </t>
  </si>
  <si>
    <t xml:space="preserve">SALARIOS Y PAGOS LABORALES                        </t>
  </si>
  <si>
    <t>0 000 00000000000 000</t>
  </si>
  <si>
    <t xml:space="preserve">23651502   HONORARIOS PERSONAS JURIDICAS 11%                 </t>
  </si>
  <si>
    <t xml:space="preserve">23651502   </t>
  </si>
  <si>
    <t xml:space="preserve">HONORARIOS PERSONAS JURIDICAS 11%                 </t>
  </si>
  <si>
    <t>P 001 00000002658 003</t>
  </si>
  <si>
    <t>P 002 00000002850 003</t>
  </si>
  <si>
    <t xml:space="preserve">CE1764 CONSULTORIA FINANCIERA JULIO 2026          </t>
  </si>
  <si>
    <t>P 002 00000002851 003</t>
  </si>
  <si>
    <t xml:space="preserve">CE1765 GESTION ADMINISTRATIVA JULIO 2026          </t>
  </si>
  <si>
    <t xml:space="preserve">23652501   SERVICIOS PERSONAS JURIDICAS 4%                   </t>
  </si>
  <si>
    <t xml:space="preserve">23652501   </t>
  </si>
  <si>
    <t>P 002 00000002840 002</t>
  </si>
  <si>
    <t>P 002 00000002842 002</t>
  </si>
  <si>
    <t xml:space="preserve">FC440 OC1301 REPARACION PORTATIL DELL             </t>
  </si>
  <si>
    <t>P 001 00000002661 003</t>
  </si>
  <si>
    <t>FESS742 OC1309 REPARACION DE CARRO DE AVANCE TORNO</t>
  </si>
  <si>
    <t xml:space="preserve">23652502   SERVICIOS PERSONAS NATURALES 6%                   </t>
  </si>
  <si>
    <t xml:space="preserve">23652502   </t>
  </si>
  <si>
    <t xml:space="preserve">SERVICIOS PERSONAS NATURALES 6%                   </t>
  </si>
  <si>
    <t>P 002 00000002838 002</t>
  </si>
  <si>
    <t>P 002 00000002844 002</t>
  </si>
  <si>
    <t>P 002 00000002848 002</t>
  </si>
  <si>
    <t>P 002 00000002853 002</t>
  </si>
  <si>
    <t>P 002 00000002858 002</t>
  </si>
  <si>
    <t>P 002 00000002864 026</t>
  </si>
  <si>
    <t xml:space="preserve">23652503   SERVICIOS TRANSPORTE DE CARGA 1%                  </t>
  </si>
  <si>
    <t xml:space="preserve">23652503   </t>
  </si>
  <si>
    <t xml:space="preserve">SERVICIOS TRANSPORTE DE CARGA 1%                  </t>
  </si>
  <si>
    <t xml:space="preserve">23652504   SERVICIOS TEMPORALES  VIGILANCIA Y ASEO 2%        </t>
  </si>
  <si>
    <t xml:space="preserve">23652504   </t>
  </si>
  <si>
    <t xml:space="preserve">SERVICIOS TEMPORALES  VIGILANCIA Y ASEO 2%        </t>
  </si>
  <si>
    <t xml:space="preserve">23652508   SERVICIOS EMPRESAS TEMPORALES DE EMPLEO 1%        </t>
  </si>
  <si>
    <t xml:space="preserve">23652508   </t>
  </si>
  <si>
    <t xml:space="preserve">SERVICIOS EMPRESAS TEMPORALES DE EMPLEO 1%        </t>
  </si>
  <si>
    <t xml:space="preserve">23652513   SERVICIOS INTEGRALES DE SALUD  2%                 </t>
  </si>
  <si>
    <t xml:space="preserve">23652513   </t>
  </si>
  <si>
    <t xml:space="preserve">SERVICIOS INTEGRALES DE SALUD  2%                 </t>
  </si>
  <si>
    <t xml:space="preserve">23653002   ARRENDAMIENTO DE BIENES MUEBLES 4%                </t>
  </si>
  <si>
    <t xml:space="preserve">23653002   </t>
  </si>
  <si>
    <t xml:space="preserve">ARRENDAMIENTO DE BIENES MUEBLES 4%                </t>
  </si>
  <si>
    <t xml:space="preserve">23654001   COMPRAS EN GENERAL 3.5%                           </t>
  </si>
  <si>
    <t xml:space="preserve">23654001   </t>
  </si>
  <si>
    <t xml:space="preserve">COMPRAS EN GENERAL 3.5%                           </t>
  </si>
  <si>
    <t xml:space="preserve">23654002   COMPRAS COMBUSTIBLES 0.1%                         </t>
  </si>
  <si>
    <t xml:space="preserve">23654002   </t>
  </si>
  <si>
    <t xml:space="preserve">COMPRAS COMBUSTIBLES 0.1%                         </t>
  </si>
  <si>
    <t>P 002 00000002846 002</t>
  </si>
  <si>
    <t xml:space="preserve">PAPIROS PARK 2 S.A.S.                                                                                                                                 </t>
  </si>
  <si>
    <t xml:space="preserve">EDS305372 REEMBOLSO GTOS                          </t>
  </si>
  <si>
    <t>P 002 00000002863 002</t>
  </si>
  <si>
    <t xml:space="preserve">EDS SAN FRANCISCO - SODICSA S.A.                                                                                                                      </t>
  </si>
  <si>
    <t xml:space="preserve">CM713 FCMA580222 REEMBOLSO CM                     </t>
  </si>
  <si>
    <t>P 002 00000002863 008</t>
  </si>
  <si>
    <t xml:space="preserve">CM713 EDS305052 REEMBOLSO CM                      </t>
  </si>
  <si>
    <t>P 002 00000002863 011</t>
  </si>
  <si>
    <t xml:space="preserve">CM713 EDS305161 REEMBOLSO CM                      </t>
  </si>
  <si>
    <t>P 002 00000002863 014</t>
  </si>
  <si>
    <t xml:space="preserve">CM713 EDS305342 REEMBOLSO CM                      </t>
  </si>
  <si>
    <t>P 002 00000002863 017</t>
  </si>
  <si>
    <t xml:space="preserve">CM713 EDS305372 REEMBOLSO CM                      </t>
  </si>
  <si>
    <t>P 002 00000002863 020</t>
  </si>
  <si>
    <t xml:space="preserve">CM713 EDS305310 REEMBOLSO CM                      </t>
  </si>
  <si>
    <t>P 002 00000002863 023</t>
  </si>
  <si>
    <t xml:space="preserve">CM713 CAST239003 REEMBOLSO CM                     </t>
  </si>
  <si>
    <t>P 002 00000002863 029</t>
  </si>
  <si>
    <t xml:space="preserve">CM713 EDS306294 REEMBOLSO CM                      </t>
  </si>
  <si>
    <t>P 002 00000002863 033</t>
  </si>
  <si>
    <t xml:space="preserve">CREDISEGUROS DE LA COSTA LTDA                                                                                                                         </t>
  </si>
  <si>
    <t xml:space="preserve">CM713 FESA460891 REEMBOLSO CM                     </t>
  </si>
  <si>
    <t>P 002 00000002863 036</t>
  </si>
  <si>
    <t xml:space="preserve">CM713 EDS308111 REEMBOLSO CM                      </t>
  </si>
  <si>
    <t>P 002 00000002868 004</t>
  </si>
  <si>
    <t xml:space="preserve">CM715 CAST1273950 REEMBOLSO CM                    </t>
  </si>
  <si>
    <t>P 002 00000002868 009</t>
  </si>
  <si>
    <t xml:space="preserve">CM715 EDS313135 REEMBOLSO CM                      </t>
  </si>
  <si>
    <t>P 002 00000002868 013</t>
  </si>
  <si>
    <t xml:space="preserve">CM715 EDS312941 REEMBOLSO CM                      </t>
  </si>
  <si>
    <t>P 002 00000002868 016</t>
  </si>
  <si>
    <t xml:space="preserve">CM715 EDS312176 REEMBOLSO CM                      </t>
  </si>
  <si>
    <t>P 002 00000002868 019</t>
  </si>
  <si>
    <t xml:space="preserve">CM715 FCMA596903 REEMBOLSO CM                     </t>
  </si>
  <si>
    <t>P 002 00000002868 024</t>
  </si>
  <si>
    <t xml:space="preserve">CM715 CAST1261941 REEMBOLSO CM                    </t>
  </si>
  <si>
    <t>P 002 00000002868 029</t>
  </si>
  <si>
    <t xml:space="preserve">CM715 FCMA594240 REEMBOLSO CM                     </t>
  </si>
  <si>
    <t>P 002 00000002868 035</t>
  </si>
  <si>
    <t xml:space="preserve">CM715 FCMA592444 REEMBOLSO CM                     </t>
  </si>
  <si>
    <t>P 002 00000002868 040</t>
  </si>
  <si>
    <t xml:space="preserve">CM715 FCMA591927 REEMBOLSO CM                     </t>
  </si>
  <si>
    <t>P 002 00000002868 046</t>
  </si>
  <si>
    <t xml:space="preserve">CM715 EDS308251 REEMBOLSO CM                      </t>
  </si>
  <si>
    <t xml:space="preserve">23654005   COMPRAS EN GENERAL 2.5%                           </t>
  </si>
  <si>
    <t xml:space="preserve">23654005   </t>
  </si>
  <si>
    <t>P 002 00000002857 003</t>
  </si>
  <si>
    <t xml:space="preserve">23657502   AUTO RETENCION RENTA (ANTES CREE)                 </t>
  </si>
  <si>
    <t xml:space="preserve">23657502   </t>
  </si>
  <si>
    <t>F 003 00000001059 007</t>
  </si>
  <si>
    <t>F 003 00000001060 009</t>
  </si>
  <si>
    <t>F 003 00000001061 009</t>
  </si>
  <si>
    <t>F 003 00000001062 007</t>
  </si>
  <si>
    <t>F 003 00000001063 007</t>
  </si>
  <si>
    <t>F 003 00000001064 008</t>
  </si>
  <si>
    <t>F 003 00000001065 005</t>
  </si>
  <si>
    <t>F 003 00000001066 007</t>
  </si>
  <si>
    <t>F 003 00000001067 012</t>
  </si>
  <si>
    <t>F 003 00000001068 007</t>
  </si>
  <si>
    <t>F 003 00000001069 007</t>
  </si>
  <si>
    <t>F 003 00000001070 007</t>
  </si>
  <si>
    <t xml:space="preserve">23670101   IVA RETENIDO EN COMPRAS AL REGIMEN COMUN 19% IVA  </t>
  </si>
  <si>
    <t xml:space="preserve">23670101   </t>
  </si>
  <si>
    <t xml:space="preserve">IVA RETENIDO EN COMPRAS AL REGIMEN COMUN 19% IVA  </t>
  </si>
  <si>
    <t>P 001 00000002662 003</t>
  </si>
  <si>
    <t xml:space="preserve">C481 OC1288 BOQUILLAS DE CONTACTO Y ANTIBOND      </t>
  </si>
  <si>
    <t xml:space="preserve">23670201   RETENCION DE IMPUESTO A LAS VENTAS IVA 15%        </t>
  </si>
  <si>
    <t xml:space="preserve">23670201   </t>
  </si>
  <si>
    <t xml:space="preserve">RETENCION DE IMPUESTO A LAS VENTAS IVA 15%        </t>
  </si>
  <si>
    <t>23680202   ICA BQ 202 10 X 1000 COMB LUB VEH DROG PA BARRANQU</t>
  </si>
  <si>
    <t xml:space="preserve">23680202   </t>
  </si>
  <si>
    <t>ICA BQ 202 10 X 1000 COMB LUB VEH DROG PA BARRANQU</t>
  </si>
  <si>
    <t>P 002 00000002863 004</t>
  </si>
  <si>
    <t>P 002 00000002863 025</t>
  </si>
  <si>
    <t>P 002 00000002868 006</t>
  </si>
  <si>
    <t>P 002 00000002868 021</t>
  </si>
  <si>
    <t>P 002 00000002868 026</t>
  </si>
  <si>
    <t>P 002 00000002868 031</t>
  </si>
  <si>
    <t>P 002 00000002868 037</t>
  </si>
  <si>
    <t>P 002 00000002868 042</t>
  </si>
  <si>
    <t>23680203   ICA BQ 203 10 X MIL COMERCIO AL POR MAYO Y POR MEN</t>
  </si>
  <si>
    <t xml:space="preserve">23680203   </t>
  </si>
  <si>
    <t>ICA BQ 203 10 X MIL COMERCIO AL POR MAYO Y POR MEN</t>
  </si>
  <si>
    <t xml:space="preserve">23680205   ICA BQ 12 5 X 1000 DEMAS ACTIVIDADES COMERCIALES  </t>
  </si>
  <si>
    <t xml:space="preserve">23680205   </t>
  </si>
  <si>
    <t xml:space="preserve">ICA BQ 12 5 X 1000 DEMAS ACTIVIDADES COMERCIALES  </t>
  </si>
  <si>
    <t>P 002 00000002857 004</t>
  </si>
  <si>
    <t xml:space="preserve">23680302   ICA BQ 302 8 X MIL TRAS AS ALQ EQ CNST BARRANQUI  </t>
  </si>
  <si>
    <t xml:space="preserve">23680302   </t>
  </si>
  <si>
    <t xml:space="preserve">ICA BQ 302 8 X MIL TRAS AS ALQ EQ CNST BARRANQUI  </t>
  </si>
  <si>
    <t xml:space="preserve">23680306   ICA BQ 12 5 X 1000 DEMAS ACTIVIDADES DE SERVICIO  </t>
  </si>
  <si>
    <t xml:space="preserve">23680306   </t>
  </si>
  <si>
    <t xml:space="preserve">ICA BQ 12 5 X 1000 DEMAS ACTIVIDADES DE SERVICIO  </t>
  </si>
  <si>
    <t>P 002 00000002838 003</t>
  </si>
  <si>
    <t>P 001 00000002658 004</t>
  </si>
  <si>
    <t>P 002 00000002840 003</t>
  </si>
  <si>
    <t>P 002 00000002842 003</t>
  </si>
  <si>
    <t>P 002 00000002844 003</t>
  </si>
  <si>
    <t>P 002 00000002848 003</t>
  </si>
  <si>
    <t>P 002 00000002850 004</t>
  </si>
  <si>
    <t>P 002 00000002851 004</t>
  </si>
  <si>
    <t>P 002 00000002853 003</t>
  </si>
  <si>
    <t>P 002 00000002858 003</t>
  </si>
  <si>
    <t>P 002 00000002864 028</t>
  </si>
  <si>
    <t xml:space="preserve">23681001   PAGO ICA DISTRITO BARRANQUILLA                    </t>
  </si>
  <si>
    <t xml:space="preserve">23681001   </t>
  </si>
  <si>
    <t xml:space="preserve">PAGO ICA DISTRITO BARRANQUILLA                    </t>
  </si>
  <si>
    <t>G 002 00000002724 001</t>
  </si>
  <si>
    <t xml:space="preserve">FIDUCIARIA LA PREVISORA S.A.                                                                                                                          </t>
  </si>
  <si>
    <t>PAG DECL RTEICA BAQ BIM 03-2026 - FIDUCIARIA LA PR</t>
  </si>
  <si>
    <t xml:space="preserve">P-002-00000202603-001                                                                   </t>
  </si>
  <si>
    <t xml:space="preserve">23700501   APORTES A ENTIDADES PROMOTORAS DE SALUD           </t>
  </si>
  <si>
    <t xml:space="preserve">23700501   </t>
  </si>
  <si>
    <t xml:space="preserve">APORTES A ENTIDADES PROMOTORAS DE SALUD           </t>
  </si>
  <si>
    <t>P 002 00000002865 004</t>
  </si>
  <si>
    <t xml:space="preserve">NUEVA EPS PROMOTORA DE SALUD S.A                                                                                                                      </t>
  </si>
  <si>
    <t xml:space="preserve">SEGURIDAD SOCIAL JULIO 2026                       </t>
  </si>
  <si>
    <t>P 002 00000002865 005</t>
  </si>
  <si>
    <t xml:space="preserve">SANITAS LTDA                                                                                                                                          </t>
  </si>
  <si>
    <t>P 002 00000002865 006</t>
  </si>
  <si>
    <t>P 002 00000002865 007</t>
  </si>
  <si>
    <t xml:space="preserve">SUSALUD EPS SA                                                                                                                                        </t>
  </si>
  <si>
    <t xml:space="preserve">23700601   APORTES A ADMINISTRADORAS DE RIESGOS PRO          </t>
  </si>
  <si>
    <t xml:space="preserve">23700601   </t>
  </si>
  <si>
    <t xml:space="preserve">APORTES A ADMINISTRADORAS DE RIESGOS PRO          </t>
  </si>
  <si>
    <t>P 002 00000002865 008</t>
  </si>
  <si>
    <t xml:space="preserve">COLMENA RIESGOS PROFESIONALES SA                                                                                                                      </t>
  </si>
  <si>
    <t xml:space="preserve">23701001   APORTES AL I C B F   SENA Y CAJAS DE COM          </t>
  </si>
  <si>
    <t xml:space="preserve">23701001   </t>
  </si>
  <si>
    <t xml:space="preserve">APORTES AL I C B F   SENA Y CAJAS DE COM          </t>
  </si>
  <si>
    <t>P 002 00000002865 009</t>
  </si>
  <si>
    <t xml:space="preserve">COMBARRANQUILLA - CAJA DE COMP                                                                                                                        </t>
  </si>
  <si>
    <t xml:space="preserve">23709501   OTROS                                             </t>
  </si>
  <si>
    <t xml:space="preserve">23709501   </t>
  </si>
  <si>
    <t>G 002 00000002718 001</t>
  </si>
  <si>
    <t xml:space="preserve">ENLACE OPERATIVO S.A.                                                                                                                                 </t>
  </si>
  <si>
    <t xml:space="preserve">PAG SEG SOC JUN-26 - ENLACE OPERATIVO S.A.        </t>
  </si>
  <si>
    <t>P 002 00000002865 010</t>
  </si>
  <si>
    <t xml:space="preserve">P-002-00000202607-001                                                                   </t>
  </si>
  <si>
    <t xml:space="preserve">23803001   FONDOS DE CESANTIAS Y/O PENSIONES                 </t>
  </si>
  <si>
    <t xml:space="preserve">23803001   </t>
  </si>
  <si>
    <t xml:space="preserve">FONDOS DE CESANTIAS Y/O PENSIONES                 </t>
  </si>
  <si>
    <t>P 002 00000002865 001</t>
  </si>
  <si>
    <t xml:space="preserve">PORVENIR                                                                                                                                              </t>
  </si>
  <si>
    <t>P 002 00000002865 002</t>
  </si>
  <si>
    <t xml:space="preserve">ADMINISTRADORA COLOMBIANA DE PENSIONES COLPENSIONES                                                                                                   </t>
  </si>
  <si>
    <t>P 002 00000002865 003</t>
  </si>
  <si>
    <t xml:space="preserve">COLFONDOS SA                                                                                                                                          </t>
  </si>
  <si>
    <t xml:space="preserve">23809501   OTROS                                             </t>
  </si>
  <si>
    <t xml:space="preserve">23809501   </t>
  </si>
  <si>
    <t xml:space="preserve">24080102   IVA GENERADO POR SERVICIOS                        </t>
  </si>
  <si>
    <t xml:space="preserve">24080102   </t>
  </si>
  <si>
    <t xml:space="preserve">IVA GENERADO POR SERVICIOS                        </t>
  </si>
  <si>
    <t>F 003 00000001059 004</t>
  </si>
  <si>
    <t>F 003 00000001060 006</t>
  </si>
  <si>
    <t>F 003 00000001061 006</t>
  </si>
  <si>
    <t>F 003 00000001062 004</t>
  </si>
  <si>
    <t>F 003 00000001063 004</t>
  </si>
  <si>
    <t>F 003 00000001064 004</t>
  </si>
  <si>
    <t>F 003 00000001066 005</t>
  </si>
  <si>
    <t>F 003 00000001067 010</t>
  </si>
  <si>
    <t>F 003 00000001068 004</t>
  </si>
  <si>
    <t>F 003 00000001069 004</t>
  </si>
  <si>
    <t>F 003 00000001070 004</t>
  </si>
  <si>
    <t xml:space="preserve">24080315   IVA DESCONTABLE R.COMUN SERVICIO 5%               </t>
  </si>
  <si>
    <t xml:space="preserve">24080315   </t>
  </si>
  <si>
    <t xml:space="preserve">IVA DESCONTABLE R.COMUN SERVICIO 5%               </t>
  </si>
  <si>
    <t xml:space="preserve">24080325   IVA DESCONTABLE R.COMUN COMPRAS 19%               </t>
  </si>
  <si>
    <t xml:space="preserve">24080325   </t>
  </si>
  <si>
    <t xml:space="preserve">IVA DESCONTABLE R.COMUN COMPRAS 19%               </t>
  </si>
  <si>
    <t>P 002 00000002867 002</t>
  </si>
  <si>
    <t xml:space="preserve">FMSE102384 COMPRA DE INSUMOS DOZERMAQ             </t>
  </si>
  <si>
    <t>P 002 00000002847 002</t>
  </si>
  <si>
    <t xml:space="preserve">CLAUDIA ISABEL MONCADA                                                                                                                                </t>
  </si>
  <si>
    <t xml:space="preserve">FEV22988 COMPRA DE INSUMOS ALTERNADOR             </t>
  </si>
  <si>
    <t>P 001 00000002662 002</t>
  </si>
  <si>
    <t>P 002 00000002846 005</t>
  </si>
  <si>
    <t xml:space="preserve">FEV22750 REEMBOLSO GTOS                           </t>
  </si>
  <si>
    <t>P 001 00000002659 002</t>
  </si>
  <si>
    <t xml:space="preserve">ASF12026 OC1306 COMPRA INSUMOS CAF                </t>
  </si>
  <si>
    <t>P 002 00000002857 002</t>
  </si>
  <si>
    <t>P 002 00000002864 004</t>
  </si>
  <si>
    <t xml:space="preserve">CM714 H8L3132989 REEMBOLSO CM                     </t>
  </si>
  <si>
    <t>P 002 00000002864 009</t>
  </si>
  <si>
    <t xml:space="preserve">PROMOTORA DE CAFE COLOMBIA SA                                                                                                                         </t>
  </si>
  <si>
    <t xml:space="preserve">CM714 F40389894 REEMBOLSO CM                      </t>
  </si>
  <si>
    <t>P 002 00000002864 014</t>
  </si>
  <si>
    <t xml:space="preserve">FERREPINTURAS AUTOCOLOR S.A.S                                                                                                                         </t>
  </si>
  <si>
    <t xml:space="preserve">CM714 FE45319 REEMBOLSO CM                        </t>
  </si>
  <si>
    <t>P 002 00000002864 016</t>
  </si>
  <si>
    <t xml:space="preserve">CENTRAL DE SOLDADURAS &amp; PROTECCION INDUSTRIAL SA                                                                                                      </t>
  </si>
  <si>
    <t xml:space="preserve">CM714 BAQ3178763 REEMBOLSO CM                     </t>
  </si>
  <si>
    <t>P 002 00000002864 018</t>
  </si>
  <si>
    <t xml:space="preserve">CM714 FMSE102772 REEMBOLSO CM                     </t>
  </si>
  <si>
    <t>P 002 00000002864 022</t>
  </si>
  <si>
    <t xml:space="preserve">CM714 FMSE103394 REEMBOLSO CM                     </t>
  </si>
  <si>
    <t>P 002 00000002864 024</t>
  </si>
  <si>
    <t xml:space="preserve">CM714 FMSE103771 REEMBOLSO CM                     </t>
  </si>
  <si>
    <t>P 002 00000002868 002</t>
  </si>
  <si>
    <t xml:space="preserve">MASSER SAS                                                                                                                                            </t>
  </si>
  <si>
    <t xml:space="preserve">CM715 KQ56204528 REEMBOLSO CM                     </t>
  </si>
  <si>
    <t>P 002 00000002869 006</t>
  </si>
  <si>
    <t xml:space="preserve">SUMATEC S. A. S                                                                                                                                       </t>
  </si>
  <si>
    <t xml:space="preserve">CM716 FNC122703 REEMBOLSO CM                      </t>
  </si>
  <si>
    <t>P 002 00000002869 010</t>
  </si>
  <si>
    <t xml:space="preserve">CM716 F250164925 REEMBOLSO CM                     </t>
  </si>
  <si>
    <t>P 002 00000002869 018</t>
  </si>
  <si>
    <t xml:space="preserve">ANASTACIA DEL CARMEN NICOLICHE ARROYO                                                                                                                 </t>
  </si>
  <si>
    <t xml:space="preserve">CM716 FEAN33742 REEMBOLSO CM                      </t>
  </si>
  <si>
    <t xml:space="preserve">24080326   IVA DESCONTABLE R.COMUN SERVICIO 19%              </t>
  </si>
  <si>
    <t xml:space="preserve">24080326   </t>
  </si>
  <si>
    <t xml:space="preserve">IVA DESCONTABLE R.COMUN SERVICIO 19%              </t>
  </si>
  <si>
    <t>P 001 00000002658 002</t>
  </si>
  <si>
    <t>P 001 00000002661 002</t>
  </si>
  <si>
    <t>P 002 00000002850 002</t>
  </si>
  <si>
    <t>P 002 00000002851 002</t>
  </si>
  <si>
    <t>P 002 00000002864 006</t>
  </si>
  <si>
    <t xml:space="preserve">F2X SAS                                                                                                                                               </t>
  </si>
  <si>
    <t xml:space="preserve">CM714 FLYP10715417 REEMBOLSO CM                   </t>
  </si>
  <si>
    <t>P 002 00000002864 011</t>
  </si>
  <si>
    <t xml:space="preserve">EASY PUNTO SAS                                                                                                                                        </t>
  </si>
  <si>
    <t xml:space="preserve">CM714 E1B443917 REEMBOLSO CM                      </t>
  </si>
  <si>
    <t>P 002 00000002869 003</t>
  </si>
  <si>
    <t xml:space="preserve">JANNA CONSTRUCCIONES S.A.S.                                                                                                                           </t>
  </si>
  <si>
    <t xml:space="preserve">CM716 PPH35299 REEMBOLSO CM                       </t>
  </si>
  <si>
    <t>P 002 00000002869 012</t>
  </si>
  <si>
    <t xml:space="preserve">ALEJANDRO JOSE HERNANDEZ TEHERAN                                                                                                                      </t>
  </si>
  <si>
    <t xml:space="preserve">CM716 LUFV5430 REEMBOLSO CM                       </t>
  </si>
  <si>
    <t>P 002 00000002869 021</t>
  </si>
  <si>
    <t xml:space="preserve">CM716 LUFV5401  REEMBOLSO CM                      </t>
  </si>
  <si>
    <t xml:space="preserve">24080327   IVA DESCONTABLE R.COMUN COMPRAS 5% CAYPA          </t>
  </si>
  <si>
    <t xml:space="preserve">24080327   </t>
  </si>
  <si>
    <t xml:space="preserve">IVA DESCONTABLE R.COMUN COMPRAS 5% CAYPA          </t>
  </si>
  <si>
    <t xml:space="preserve">24089901   PAGO IVA DIAN                                     </t>
  </si>
  <si>
    <t xml:space="preserve">24089901   </t>
  </si>
  <si>
    <t xml:space="preserve">PAGO IVA DIAN                                     </t>
  </si>
  <si>
    <t>G 002 00000002736 001</t>
  </si>
  <si>
    <t xml:space="preserve">PAG DECL IVA BIM 03-2026 - DIRECCION DE IMPUESTOS </t>
  </si>
  <si>
    <t xml:space="preserve">25050501   SALARIOS POR PAGAR                                </t>
  </si>
  <si>
    <t xml:space="preserve">25050501   </t>
  </si>
  <si>
    <t xml:space="preserve">SALARIOS POR PAGAR                                </t>
  </si>
  <si>
    <t>G 002 00000002714 001</t>
  </si>
  <si>
    <t xml:space="preserve">TECNICOS Y LOGISTICOS DEL CARIBE S.A.S                                                                                                                </t>
  </si>
  <si>
    <t xml:space="preserve">PAG PRIMAS 1ER SEM 2026 - ALEXANDER VILLA         </t>
  </si>
  <si>
    <t>G 002 00000002715 001</t>
  </si>
  <si>
    <t xml:space="preserve">PAG NOMINA JUNIO-2026 - TECNICOS Y LOGISTICOS DEL </t>
  </si>
  <si>
    <t>G 002 00000002721 001</t>
  </si>
  <si>
    <t xml:space="preserve">TATIANA ANDREA PALMA PAEZ                                                                                                                             </t>
  </si>
  <si>
    <t xml:space="preserve">PAG LIQUIDAC CONTRATO - TATIANA ANDREA PALMA PAEZ </t>
  </si>
  <si>
    <t>P 002 00000002859 001</t>
  </si>
  <si>
    <t xml:space="preserve">SALARIOS POR PAGAR JULIO 2026                     </t>
  </si>
  <si>
    <t>P 002 00000002859 002</t>
  </si>
  <si>
    <t>P 002 00000002859 003</t>
  </si>
  <si>
    <t xml:space="preserve">YOVANNY ALBERTO LASCANO PEÑA                                                                                                                          </t>
  </si>
  <si>
    <t>P 002 00000002859 004</t>
  </si>
  <si>
    <t>P 002 00000002859 005</t>
  </si>
  <si>
    <t xml:space="preserve">CESAR MARIANO BARRIOS FONTALVO                                                                                                                        </t>
  </si>
  <si>
    <t>P 002 00000002859 006</t>
  </si>
  <si>
    <t xml:space="preserve">DEIVID MUNERA DE LA CRUZ                                                                                                                              </t>
  </si>
  <si>
    <t>P 002 00000002859 007</t>
  </si>
  <si>
    <t>G 002 00000002742 001</t>
  </si>
  <si>
    <t>PAG NOMINA JUL-2026 - TECNICOS Y LOGISTICOS DEL CA</t>
  </si>
  <si>
    <t xml:space="preserve">25100501   LEY LABORAL ANTERIOR                              </t>
  </si>
  <si>
    <t xml:space="preserve">25100501   </t>
  </si>
  <si>
    <t xml:space="preserve">LEY LABORAL ANTERIOR                              </t>
  </si>
  <si>
    <t xml:space="preserve">25101001   LEY 50 DE 1990 Y NORMAS POSTERIORES               </t>
  </si>
  <si>
    <t xml:space="preserve">25101001   </t>
  </si>
  <si>
    <t xml:space="preserve">LEY 50 DE 1990 Y NORMAS POSTERIORES               </t>
  </si>
  <si>
    <t xml:space="preserve">25150501   INTERESES SOBRE CESANTIAS                         </t>
  </si>
  <si>
    <t xml:space="preserve">25150501   </t>
  </si>
  <si>
    <t xml:space="preserve">INTERESES SOBRE CESANTIAS                         </t>
  </si>
  <si>
    <t xml:space="preserve">25250501   VACACIONES CONSOLIDADAS                           </t>
  </si>
  <si>
    <t xml:space="preserve">25250501   </t>
  </si>
  <si>
    <t xml:space="preserve">VACACIONES CONSOLIDADAS                           </t>
  </si>
  <si>
    <t xml:space="preserve">25300501   PRIMAS                                            </t>
  </si>
  <si>
    <t xml:space="preserve">25300501   </t>
  </si>
  <si>
    <t xml:space="preserve">PRIMAS                                            </t>
  </si>
  <si>
    <t xml:space="preserve">26100501   CESANTIAS                                         </t>
  </si>
  <si>
    <t xml:space="preserve">26100501   </t>
  </si>
  <si>
    <t xml:space="preserve">CESANTIAS                                         </t>
  </si>
  <si>
    <t xml:space="preserve">26101001   INTERESES SOBRE CESANTIAS                         </t>
  </si>
  <si>
    <t xml:space="preserve">26101001   </t>
  </si>
  <si>
    <t xml:space="preserve">26101501   VACACIONES                                        </t>
  </si>
  <si>
    <t xml:space="preserve">26101501   </t>
  </si>
  <si>
    <t xml:space="preserve">VACACIONES                                        </t>
  </si>
  <si>
    <t xml:space="preserve">26102001   PRIMA DE SERVICIOS                                </t>
  </si>
  <si>
    <t xml:space="preserve">26102001   </t>
  </si>
  <si>
    <t xml:space="preserve">PRIMA DE SERVICIOS                                </t>
  </si>
  <si>
    <t xml:space="preserve">28050501   DE CLIENTES                                       </t>
  </si>
  <si>
    <t xml:space="preserve">28050501   </t>
  </si>
  <si>
    <t xml:space="preserve">DE CLIENTES                                       </t>
  </si>
  <si>
    <t>R 002 00000000619 001</t>
  </si>
  <si>
    <t>PRESTAMO RECIBIDO - CI CARBONES DE SANTANDER S.A.S</t>
  </si>
  <si>
    <t xml:space="preserve">R-ANT-00020260701-001                                                                   </t>
  </si>
  <si>
    <t>R 002 00000000621 001</t>
  </si>
  <si>
    <t xml:space="preserve">COLOMBIAN NATURAL RESOURCES II S.A.S.                                                                                                                 </t>
  </si>
  <si>
    <t>ANTICIPO RECIBIDO - COLOMBIAN NATURAL RESOURCES II</t>
  </si>
  <si>
    <t xml:space="preserve">R-ANT-00020260701-002                                                                   </t>
  </si>
  <si>
    <t>R 002 00000000623 001</t>
  </si>
  <si>
    <t>ANTICIPO RECIBIDO - SERVICIOS ELECTROHIDRAULICOS S</t>
  </si>
  <si>
    <t xml:space="preserve">R-ANT-00020260701-003                                                                   </t>
  </si>
  <si>
    <t>R 003 00000000133 002</t>
  </si>
  <si>
    <t xml:space="preserve">R-ANT-00020260330-001                                                                   </t>
  </si>
  <si>
    <t>R 003 00000000133 003</t>
  </si>
  <si>
    <t xml:space="preserve">R-ANT-00020260428-001                                                                   </t>
  </si>
  <si>
    <t>R 002 00000000624 001</t>
  </si>
  <si>
    <t>ANTICIPO RECIBIDO - TECNICOS Y LOGISTICOS DEL CARI</t>
  </si>
  <si>
    <t xml:space="preserve">R-ANT-00020260717-001                                                                   </t>
  </si>
  <si>
    <t>R 003 00000000134 004</t>
  </si>
  <si>
    <t xml:space="preserve">TLE 1060-1061-1069 CRUCE FV CON ANTIC - SERVICIOS </t>
  </si>
  <si>
    <t>R 003 00000000135 002</t>
  </si>
  <si>
    <t xml:space="preserve">R-ANT-00020260123-001                                                                   </t>
  </si>
  <si>
    <t xml:space="preserve">31050501   CAPITAL AUTORIZADO                                </t>
  </si>
  <si>
    <t xml:space="preserve">31050501   </t>
  </si>
  <si>
    <t xml:space="preserve">CAPITAL AUTORIZADO                                </t>
  </si>
  <si>
    <t xml:space="preserve">31051001   CAPITAL POR SUSCRIBIR (DB)                        </t>
  </si>
  <si>
    <t xml:space="preserve">31051001   </t>
  </si>
  <si>
    <t xml:space="preserve">CAPITAL POR SUSCRIBIR (DB)                        </t>
  </si>
  <si>
    <t xml:space="preserve">36050501   UTILIDAD DEL EJERCICIO                            </t>
  </si>
  <si>
    <t xml:space="preserve">36050501   </t>
  </si>
  <si>
    <t xml:space="preserve">UTILIDAD DEL EJERCICIO                            </t>
  </si>
  <si>
    <t xml:space="preserve">36050597   UTILIDAD DEL EJERCICIO NIIF                       </t>
  </si>
  <si>
    <t xml:space="preserve">36050597   </t>
  </si>
  <si>
    <t xml:space="preserve">UTILIDAD DEL EJERCICIO NIIF                       </t>
  </si>
  <si>
    <t xml:space="preserve">37050201   UTILIDADES O EXCEDENTES ACUMULADOS GRAVADOS       </t>
  </si>
  <si>
    <t xml:space="preserve">37050201   </t>
  </si>
  <si>
    <t xml:space="preserve">UTILIDADES O EXCEDENTES ACUMULADOS GRAVADOS       </t>
  </si>
  <si>
    <t xml:space="preserve">37050297   UTILIDADES O EXCEDENTES ACUMULADOS IFRS           </t>
  </si>
  <si>
    <t xml:space="preserve">37050297   </t>
  </si>
  <si>
    <t xml:space="preserve">UTILIDADES O EXCEDENTES ACUMULADOS IFRS           </t>
  </si>
  <si>
    <t xml:space="preserve">41359501   VENTA DE OTROS PRODUCTOS                          </t>
  </si>
  <si>
    <t xml:space="preserve">41359501   </t>
  </si>
  <si>
    <t xml:space="preserve">VENTA DE OTROS PRODUCTOS                          </t>
  </si>
  <si>
    <t xml:space="preserve">41459501   ACTIVIDADES CONEXAS                               </t>
  </si>
  <si>
    <t xml:space="preserve">41459501   </t>
  </si>
  <si>
    <t xml:space="preserve">ACTIVIDADES CONEXAS                               </t>
  </si>
  <si>
    <t>F 003 00000001065 001</t>
  </si>
  <si>
    <t xml:space="preserve">SERVICIO DE TRANSPORTE DE CARGA JULIO 2026        </t>
  </si>
  <si>
    <t>0001 000</t>
  </si>
  <si>
    <t xml:space="preserve">41559003   MANTENIMIENTO Y REPARAC MAQUINAR                  </t>
  </si>
  <si>
    <t xml:space="preserve">41559003   </t>
  </si>
  <si>
    <t xml:space="preserve">MANTENIMIENTO Y REPARAC MAQUINAR                  </t>
  </si>
  <si>
    <t>F 003 00000001059 001</t>
  </si>
  <si>
    <t xml:space="preserve">MANTENIMIENTO DE EQUIPOS                          </t>
  </si>
  <si>
    <t>F 003 00000001060 001</t>
  </si>
  <si>
    <t xml:space="preserve">LAVADO EVALUACION PARTES                          </t>
  </si>
  <si>
    <t>F 003 00000001060 002</t>
  </si>
  <si>
    <t xml:space="preserve">TRANSPORTE                                        </t>
  </si>
  <si>
    <t>F 003 00000001060 003</t>
  </si>
  <si>
    <t xml:space="preserve">SERVICIO RECONSTRUCCION CON METALIZACION          </t>
  </si>
  <si>
    <t>F 003 00000001061 001</t>
  </si>
  <si>
    <t>F 003 00000001061 002</t>
  </si>
  <si>
    <t>F 003 00000001061 003</t>
  </si>
  <si>
    <t>F 003 00000001062 001</t>
  </si>
  <si>
    <t xml:space="preserve">RECONSTRUCCIÓN                                    </t>
  </si>
  <si>
    <t>F 003 00000001063 001</t>
  </si>
  <si>
    <t>F 003 00000001064 001</t>
  </si>
  <si>
    <t xml:space="preserve">SERVICIO DE MANTENIMIENTO Y REPARACION            </t>
  </si>
  <si>
    <t>F 003 00000001066 001</t>
  </si>
  <si>
    <t xml:space="preserve">SERVICIO FABRICACION MESA DE TRABAJO CON BANDEJA  </t>
  </si>
  <si>
    <t>F 003 00000001066 002</t>
  </si>
  <si>
    <t xml:space="preserve">SERVICIO FABRICACION MESA DE TRABAJO PLANA        </t>
  </si>
  <si>
    <t>F 003 00000001067 001</t>
  </si>
  <si>
    <t xml:space="preserve">EVALUACION SEIS INYECTORES Y BOMBA                </t>
  </si>
  <si>
    <t>F 003 00000001067 002</t>
  </si>
  <si>
    <t xml:space="preserve">DESMONTE E INSTALACION INYECTORES Y BOMBA         </t>
  </si>
  <si>
    <t>F 003 00000001067 003</t>
  </si>
  <si>
    <t xml:space="preserve">LIMPIEZA GRAL COMPARTIMIENTO GENERADOR            </t>
  </si>
  <si>
    <t>F 003 00000001067 004</t>
  </si>
  <si>
    <t xml:space="preserve">MTTO PREVENTIVO MOTOR Y GENERADOR                 </t>
  </si>
  <si>
    <t>F 003 00000001067 005</t>
  </si>
  <si>
    <t xml:space="preserve">LATONERIA Y PINTURA COMPARTIMIENTO GENERADOR      </t>
  </si>
  <si>
    <t>F 003 00000001067 006</t>
  </si>
  <si>
    <t xml:space="preserve">CORRECCION FUGAS SELLOS TAPAS VALVULAS            </t>
  </si>
  <si>
    <t>F 003 00000001067 007</t>
  </si>
  <si>
    <t>MTTO SISTEMA ELECTRICO MOTOR ARRANQUE CONECTORES E</t>
  </si>
  <si>
    <t>F 003 00000001068 001</t>
  </si>
  <si>
    <t>F 003 00000001069 001</t>
  </si>
  <si>
    <t>SERVICIO DE RECONSTRUCCION CON SOLDAD Y MAQ PISTON</t>
  </si>
  <si>
    <t>F 003 00000001070 001</t>
  </si>
  <si>
    <t xml:space="preserve">ADAPTADOR GP-FAST FILL COMBUSTIBLE 988k           </t>
  </si>
  <si>
    <t xml:space="preserve">42100502   INTERESES BANCARIOS Y DE INVERSIONES FINANCIERAS  </t>
  </si>
  <si>
    <t xml:space="preserve">42100502   </t>
  </si>
  <si>
    <t xml:space="preserve">INTERESES BANCARIOS Y DE INVERSIONES FINANCIERAS  </t>
  </si>
  <si>
    <t xml:space="preserve">42505001   REINTEGRO DE OTROS COSTOS Y GASTOS                </t>
  </si>
  <si>
    <t xml:space="preserve">42505001   </t>
  </si>
  <si>
    <t xml:space="preserve">REINTEGRO DE OTROS COSTOS Y GASTOS                </t>
  </si>
  <si>
    <t xml:space="preserve">51050601   SUELDOS                                           </t>
  </si>
  <si>
    <t xml:space="preserve">51050601   </t>
  </si>
  <si>
    <t xml:space="preserve">SUELDOS                                           </t>
  </si>
  <si>
    <t xml:space="preserve">51051501   HORAS EXTRAS Y RECARGOS                           </t>
  </si>
  <si>
    <t xml:space="preserve">51051501   </t>
  </si>
  <si>
    <t xml:space="preserve">HORAS EXTRAS Y RECARGOS                           </t>
  </si>
  <si>
    <t xml:space="preserve">51052701   AUXILIO DE TRANSPORTE                             </t>
  </si>
  <si>
    <t xml:space="preserve">51052701   </t>
  </si>
  <si>
    <t xml:space="preserve">AUXILIO DE TRANSPORTE                             </t>
  </si>
  <si>
    <t xml:space="preserve">51053001   CESANTIAS                                         </t>
  </si>
  <si>
    <t xml:space="preserve">51053001   </t>
  </si>
  <si>
    <t xml:space="preserve">51053301   INTERESES SOBRE CESANTIAS                         </t>
  </si>
  <si>
    <t xml:space="preserve">51053301   </t>
  </si>
  <si>
    <t xml:space="preserve">51053601   PRIMA DE SERVICIOS                                </t>
  </si>
  <si>
    <t xml:space="preserve">51053601   </t>
  </si>
  <si>
    <t xml:space="preserve">51053901   VACACIONES                                        </t>
  </si>
  <si>
    <t xml:space="preserve">51053901   </t>
  </si>
  <si>
    <t xml:space="preserve">51056801   APORTES ADMINISTRADORAS DE RIESGOS PROFE          </t>
  </si>
  <si>
    <t xml:space="preserve">51056801   </t>
  </si>
  <si>
    <t xml:space="preserve">APORTES ADMINISTRADORAS DE RIESGOS PROFE          </t>
  </si>
  <si>
    <t xml:space="preserve">51056901   APORTES A ENTIDADES PROMOTORAS DE SALUD           </t>
  </si>
  <si>
    <t xml:space="preserve">51056901   </t>
  </si>
  <si>
    <t xml:space="preserve">51057001   APORTES FONDOS DE PENSIONES                       </t>
  </si>
  <si>
    <t xml:space="preserve">51057001   </t>
  </si>
  <si>
    <t xml:space="preserve">APORTES FONDOS DE PENSIONES                       </t>
  </si>
  <si>
    <t xml:space="preserve">51057201   APORTES CAJAS DE COMPESACION FAMILIAR             </t>
  </si>
  <si>
    <t xml:space="preserve">51057201   </t>
  </si>
  <si>
    <t xml:space="preserve">APORTES CAJAS DE COMPESACION FAMILIAR             </t>
  </si>
  <si>
    <t xml:space="preserve">51059516   AUXILIO DE ALIMENTACION                           </t>
  </si>
  <si>
    <t xml:space="preserve">51059516   </t>
  </si>
  <si>
    <t xml:space="preserve">AUXILIO DE ALIMENTACION                           </t>
  </si>
  <si>
    <t xml:space="preserve">51109501   OTROS                                             </t>
  </si>
  <si>
    <t xml:space="preserve">51109501   </t>
  </si>
  <si>
    <t>P 002 00000002850 001</t>
  </si>
  <si>
    <t>P 002 00000002851 001</t>
  </si>
  <si>
    <t xml:space="preserve">51109502   HONORARIOS INDEPENDIENTES                         </t>
  </si>
  <si>
    <t xml:space="preserve">51109502   </t>
  </si>
  <si>
    <t xml:space="preserve">HONORARIOS INDEPENDIENTES                         </t>
  </si>
  <si>
    <t>P 003 00000001249 001</t>
  </si>
  <si>
    <t xml:space="preserve">CC20260728 OC1313 ANALISIS DE PUESTO DE TRABAJO   </t>
  </si>
  <si>
    <t>U 002 00000000011 001</t>
  </si>
  <si>
    <t xml:space="preserve">CC20260728 OC1313 ANALISIS DE PUESTO DE ANULACION </t>
  </si>
  <si>
    <t xml:space="preserve">51150501   INDUSTRIA Y COMERCIO                              </t>
  </si>
  <si>
    <t xml:space="preserve">51150501   </t>
  </si>
  <si>
    <t xml:space="preserve">INDUSTRIA Y COMERCIO                              </t>
  </si>
  <si>
    <t xml:space="preserve">51154001   DE VEHICULOS                                      </t>
  </si>
  <si>
    <t xml:space="preserve">51154001   </t>
  </si>
  <si>
    <t xml:space="preserve">DE VEHICULOS                                      </t>
  </si>
  <si>
    <t xml:space="preserve">51157001   IVA DESCONTABLE                                   </t>
  </si>
  <si>
    <t xml:space="preserve">51157001   </t>
  </si>
  <si>
    <t xml:space="preserve">IVA DESCONTABLE                                   </t>
  </si>
  <si>
    <t xml:space="preserve">51158501   SOBRE TASA BOMBERIL                               </t>
  </si>
  <si>
    <t xml:space="preserve">51158501   </t>
  </si>
  <si>
    <t xml:space="preserve">SOBRE TASA BOMBERIL                               </t>
  </si>
  <si>
    <t xml:space="preserve">51159501   GRAVAMEN AL MOVIMIENTO FINANCIERO DEDUCIBLE       </t>
  </si>
  <si>
    <t xml:space="preserve">51159501   </t>
  </si>
  <si>
    <t xml:space="preserve">GRAVAMEN AL MOVIMIENTO FINANCIERO DEDUCIBLE       </t>
  </si>
  <si>
    <t xml:space="preserve">51159502   GRAVAMEN AL MOVIMIENTO FINANCIERO NO DEDUCIBLE    </t>
  </si>
  <si>
    <t xml:space="preserve">51159502   </t>
  </si>
  <si>
    <t xml:space="preserve">GRAVAMEN AL MOVIMIENTO FINANCIERO NO DEDUCIBLE    </t>
  </si>
  <si>
    <t xml:space="preserve">51306001   RESPONSABILIDAD CIVIL Y EXTRACONTRACTUAL          </t>
  </si>
  <si>
    <t xml:space="preserve">51306001   </t>
  </si>
  <si>
    <t xml:space="preserve">RESPONSABILIDAD CIVIL Y EXTRACONTRACTUAL          </t>
  </si>
  <si>
    <t xml:space="preserve">51307501   OBLIGATORIO ACCIDENTE DE TRANSITO                 </t>
  </si>
  <si>
    <t xml:space="preserve">51307501   </t>
  </si>
  <si>
    <t xml:space="preserve">OBLIGATORIO ACCIDENTE DE TRANSITO                 </t>
  </si>
  <si>
    <t xml:space="preserve">51401001   REGISTRO MERCANTIL                                </t>
  </si>
  <si>
    <t xml:space="preserve">51401001   </t>
  </si>
  <si>
    <t xml:space="preserve">REGISTRO MERCANTIL                                </t>
  </si>
  <si>
    <t xml:space="preserve">51409501   OTROS                                             </t>
  </si>
  <si>
    <t xml:space="preserve">51409501   </t>
  </si>
  <si>
    <t xml:space="preserve">51959502   OTROS DIVERSOS                                    </t>
  </si>
  <si>
    <t xml:space="preserve">51959502   </t>
  </si>
  <si>
    <t xml:space="preserve">OTROS DIVERSOS                                    </t>
  </si>
  <si>
    <t>P 003 00000001252 001</t>
  </si>
  <si>
    <t xml:space="preserve">CC20260716 PAGO GOOGLE NUBE                       </t>
  </si>
  <si>
    <t xml:space="preserve">53051501   COMISIONES  BANCARIAS                             </t>
  </si>
  <si>
    <t xml:space="preserve">53051501   </t>
  </si>
  <si>
    <t xml:space="preserve">COMISIONES  BANCARIAS                             </t>
  </si>
  <si>
    <t xml:space="preserve">53052004   INTERESES POR MORA                                </t>
  </si>
  <si>
    <t xml:space="preserve">53052004   </t>
  </si>
  <si>
    <t xml:space="preserve">INTERESES POR MORA                                </t>
  </si>
  <si>
    <t xml:space="preserve">53059501   OTROS                                             </t>
  </si>
  <si>
    <t xml:space="preserve">53059501   </t>
  </si>
  <si>
    <t xml:space="preserve">53152002   IMPUESTOS ASUMIDOS RETENCION EN LA FUENTE         </t>
  </si>
  <si>
    <t xml:space="preserve">53152002   </t>
  </si>
  <si>
    <t xml:space="preserve">IMPUESTOS ASUMIDOS RETENCION EN LA FUENTE         </t>
  </si>
  <si>
    <t>P 002 00000002846 003</t>
  </si>
  <si>
    <t>P 002 00000002861 002</t>
  </si>
  <si>
    <t>P 002 00000002863 003</t>
  </si>
  <si>
    <t>P 002 00000002863 009</t>
  </si>
  <si>
    <t>P 002 00000002863 012</t>
  </si>
  <si>
    <t>P 002 00000002863 015</t>
  </si>
  <si>
    <t>P 002 00000002863 018</t>
  </si>
  <si>
    <t>P 002 00000002863 021</t>
  </si>
  <si>
    <t>P 002 00000002863 024</t>
  </si>
  <si>
    <t>P 002 00000002863 030</t>
  </si>
  <si>
    <t>P 002 00000002863 034</t>
  </si>
  <si>
    <t>P 002 00000002863 037</t>
  </si>
  <si>
    <t>P 002 00000002864 027</t>
  </si>
  <si>
    <t>P 002 00000002868 005</t>
  </si>
  <si>
    <t>P 002 00000002868 007</t>
  </si>
  <si>
    <t>P 002 00000002868 010</t>
  </si>
  <si>
    <t>P 002 00000002868 014</t>
  </si>
  <si>
    <t>P 002 00000002868 017</t>
  </si>
  <si>
    <t>P 002 00000002868 020</t>
  </si>
  <si>
    <t>P 002 00000002868 022</t>
  </si>
  <si>
    <t>P 002 00000002868 025</t>
  </si>
  <si>
    <t>P 002 00000002868 027</t>
  </si>
  <si>
    <t>P 002 00000002868 030</t>
  </si>
  <si>
    <t>P 002 00000002868 032</t>
  </si>
  <si>
    <t>P 002 00000002868 036</t>
  </si>
  <si>
    <t>P 002 00000002868 038</t>
  </si>
  <si>
    <t>P 002 00000002868 041</t>
  </si>
  <si>
    <t>P 002 00000002868 043</t>
  </si>
  <si>
    <t>P 002 00000002868 047</t>
  </si>
  <si>
    <t xml:space="preserve">53152005   IMPUESTOS ASUMIDOS ICA                            </t>
  </si>
  <si>
    <t xml:space="preserve">53152005   </t>
  </si>
  <si>
    <t xml:space="preserve">IMPUESTOS ASUMIDOS ICA                            </t>
  </si>
  <si>
    <t>P 002 00000002863 005</t>
  </si>
  <si>
    <t>P 002 00000002863 026</t>
  </si>
  <si>
    <t>P 002 00000002864 029</t>
  </si>
  <si>
    <t xml:space="preserve">53952001   MULTAS  SANCIONES Y LITIGIOS                      </t>
  </si>
  <si>
    <t xml:space="preserve">53952001   </t>
  </si>
  <si>
    <t xml:space="preserve">MULTAS  SANCIONES Y LITIGIOS                      </t>
  </si>
  <si>
    <t xml:space="preserve">53959501   AJUSTE AL PESO                                    </t>
  </si>
  <si>
    <t xml:space="preserve">53959501   </t>
  </si>
  <si>
    <t xml:space="preserve">AJUSTE AL PESO                                    </t>
  </si>
  <si>
    <t>R 002 00000000620 003</t>
  </si>
  <si>
    <t>R 002 00000000622 003</t>
  </si>
  <si>
    <t>R 002 00000000625 005</t>
  </si>
  <si>
    <t>R 002 00000000626 005</t>
  </si>
  <si>
    <t xml:space="preserve">53959505   OTROS                                             </t>
  </si>
  <si>
    <t xml:space="preserve">53959505   </t>
  </si>
  <si>
    <t>P 002 00000002864 012</t>
  </si>
  <si>
    <t xml:space="preserve">MALLPLAZA SERVICIOS S A S                                                                                                                             </t>
  </si>
  <si>
    <t xml:space="preserve">CM714 PARQUEO REEMBOLSO CM                        </t>
  </si>
  <si>
    <t xml:space="preserve">71010101   MATERIALES Y REPUESTOS                            </t>
  </si>
  <si>
    <t xml:space="preserve">71010101   </t>
  </si>
  <si>
    <t xml:space="preserve">MATERIALES Y REPUESTOS                            </t>
  </si>
  <si>
    <t>P 001 00000002662 001</t>
  </si>
  <si>
    <t>P 002 00000002857 001</t>
  </si>
  <si>
    <t xml:space="preserve">72050601   SUELDOS                                           </t>
  </si>
  <si>
    <t xml:space="preserve">72050601   </t>
  </si>
  <si>
    <t xml:space="preserve">72051501   HORAS EXTRAS Y RECARGOS                           </t>
  </si>
  <si>
    <t xml:space="preserve">72051501   </t>
  </si>
  <si>
    <t xml:space="preserve">72052401   INCAPACIDADES                                     </t>
  </si>
  <si>
    <t xml:space="preserve">72052401   </t>
  </si>
  <si>
    <t xml:space="preserve">INCAPACIDADES                                     </t>
  </si>
  <si>
    <t xml:space="preserve">72052701   AUXILIO DE TRANSPORTE                             </t>
  </si>
  <si>
    <t xml:space="preserve">72052701   </t>
  </si>
  <si>
    <t xml:space="preserve">72053001   CESANTIAS                                         </t>
  </si>
  <si>
    <t xml:space="preserve">72053001   </t>
  </si>
  <si>
    <t xml:space="preserve">72053301   INTERESES SOBRE CESANTIAS                         </t>
  </si>
  <si>
    <t xml:space="preserve">72053301   </t>
  </si>
  <si>
    <t xml:space="preserve">72053601   PRIMA                                             </t>
  </si>
  <si>
    <t xml:space="preserve">72053601   </t>
  </si>
  <si>
    <t xml:space="preserve">PRIMA                                             </t>
  </si>
  <si>
    <t xml:space="preserve">72053901   VACACIONES                                        </t>
  </si>
  <si>
    <t xml:space="preserve">72053901   </t>
  </si>
  <si>
    <t xml:space="preserve">72055101   DOTACION Y SUMINISTRO A TRABAJADORES              </t>
  </si>
  <si>
    <t xml:space="preserve">72055101   </t>
  </si>
  <si>
    <t xml:space="preserve">DOTACION Y SUMINISTRO A TRABAJADORES              </t>
  </si>
  <si>
    <t xml:space="preserve">72056801   RIESGOS LABORALES                                 </t>
  </si>
  <si>
    <t xml:space="preserve">72056801   </t>
  </si>
  <si>
    <t xml:space="preserve">RIESGOS LABORALES                                 </t>
  </si>
  <si>
    <t xml:space="preserve">72056901   APORTES A ENTIDADES PROMOTORAS DE SALUD           </t>
  </si>
  <si>
    <t xml:space="preserve">72056901   </t>
  </si>
  <si>
    <t xml:space="preserve">72057001   APORTES A FONDOS DE PENSIONES Y/O CESANT          </t>
  </si>
  <si>
    <t xml:space="preserve">72057001   </t>
  </si>
  <si>
    <t xml:space="preserve">APORTES A FONDOS DE PENSIONES Y/O CESANT          </t>
  </si>
  <si>
    <t xml:space="preserve">72057201   APORTES A CAJAS DE COMPENSACION FAMILIAR          </t>
  </si>
  <si>
    <t xml:space="preserve">72057201   </t>
  </si>
  <si>
    <t xml:space="preserve">APORTES A CAJAS DE COMPENSACION FAMILIAR          </t>
  </si>
  <si>
    <t xml:space="preserve">72059516   AUXILIO DE ALIMENTACION - CONVENCIONAL/PACTO      </t>
  </si>
  <si>
    <t xml:space="preserve">72059516   </t>
  </si>
  <si>
    <t xml:space="preserve">AUXILIO DE ALIMENTACION - CONVENCIONAL/PACTO      </t>
  </si>
  <si>
    <t xml:space="preserve">72351003   GASTOS MEDICOS Y DROGAS                           </t>
  </si>
  <si>
    <t xml:space="preserve">72351003   </t>
  </si>
  <si>
    <t xml:space="preserve">GASTOS MEDICOS Y DROGAS                           </t>
  </si>
  <si>
    <t xml:space="preserve">73109501   HONORARIOS INDEPENDIENTES                         </t>
  </si>
  <si>
    <t xml:space="preserve">73109501   </t>
  </si>
  <si>
    <t xml:space="preserve">73109502   OTROS HONORARIOS                                  </t>
  </si>
  <si>
    <t xml:space="preserve">73109502   </t>
  </si>
  <si>
    <t xml:space="preserve">OTROS HONORARIOS                                  </t>
  </si>
  <si>
    <t>P 001 00000002658 001</t>
  </si>
  <si>
    <t xml:space="preserve">73209501   OTROS                                             </t>
  </si>
  <si>
    <t xml:space="preserve">73209501   </t>
  </si>
  <si>
    <t xml:space="preserve">73302001   VIDA COLECTIVA                                    </t>
  </si>
  <si>
    <t xml:space="preserve">73302001   </t>
  </si>
  <si>
    <t xml:space="preserve">VIDA COLECTIVA                                    </t>
  </si>
  <si>
    <t xml:space="preserve">73350501   ASEO Y VIGILANCIA                                 </t>
  </si>
  <si>
    <t xml:space="preserve">73350501   </t>
  </si>
  <si>
    <t xml:space="preserve">ASEO Y VIGILANCIA                                 </t>
  </si>
  <si>
    <t xml:space="preserve">73351001   TEMPORALES                                        </t>
  </si>
  <si>
    <t xml:space="preserve">73351001   </t>
  </si>
  <si>
    <t xml:space="preserve">TEMPORALES                                        </t>
  </si>
  <si>
    <t xml:space="preserve">73352501   ACUEDUCTO Y ALCANTARILLADO                        </t>
  </si>
  <si>
    <t xml:space="preserve">73352501   </t>
  </si>
  <si>
    <t xml:space="preserve">ACUEDUCTO Y ALCANTARILLADO                        </t>
  </si>
  <si>
    <t>P 002 00000002849 001</t>
  </si>
  <si>
    <t xml:space="preserve">DE73431822 FACTURA TRIPLE A JULIO                 </t>
  </si>
  <si>
    <t xml:space="preserve">73353001   ENERGIA ELECTRICA                                 </t>
  </si>
  <si>
    <t xml:space="preserve">73353001   </t>
  </si>
  <si>
    <t xml:space="preserve">ENERGIA ELECTRICA                                 </t>
  </si>
  <si>
    <t>P 002 00000002839 001</t>
  </si>
  <si>
    <t xml:space="preserve">DE0000742585 FACTURA DE ENERGIA JUNIO             </t>
  </si>
  <si>
    <t xml:space="preserve">73354001   CORREO  PORTES Y TELEGRAMAS                       </t>
  </si>
  <si>
    <t xml:space="preserve">73354001   </t>
  </si>
  <si>
    <t xml:space="preserve">CORREO  PORTES Y TELEGRAMAS                       </t>
  </si>
  <si>
    <t xml:space="preserve">73355003   OTROS TRANSPORTES                                 </t>
  </si>
  <si>
    <t xml:space="preserve">73355003   </t>
  </si>
  <si>
    <t xml:space="preserve">OTROS TRANSPORTES                                 </t>
  </si>
  <si>
    <t xml:space="preserve">73359505   SERVICIOS DE MOVIMIENTO DE ESTERIL                </t>
  </si>
  <si>
    <t xml:space="preserve">73359505   </t>
  </si>
  <si>
    <t xml:space="preserve">SERVICIOS DE MOVIMIENTO DE ESTERIL                </t>
  </si>
  <si>
    <t>P 002 00000002869 011</t>
  </si>
  <si>
    <t xml:space="preserve">73359506   SERVICIOS DE SOPORTE CARGUE-EXTRACCION-TRANSPORTE </t>
  </si>
  <si>
    <t xml:space="preserve">73359506   </t>
  </si>
  <si>
    <t xml:space="preserve">SERVICIOS DE SOPORTE CARGUE-EXTRACCION-TRANSPORTE </t>
  </si>
  <si>
    <t xml:space="preserve">73359595   OTROS SERVICIOS                                   </t>
  </si>
  <si>
    <t xml:space="preserve">73359595   </t>
  </si>
  <si>
    <t xml:space="preserve">OTROS SERVICIOS                                   </t>
  </si>
  <si>
    <t>P 003 00000001244 001</t>
  </si>
  <si>
    <t>CC20260707 OC1270 SERVICIO DE FABRICACION DE BUJES</t>
  </si>
  <si>
    <t>P 003 00000001246 001</t>
  </si>
  <si>
    <t>CC20260710 OC1297 SERV DE REPARACION DE PORTABEARI</t>
  </si>
  <si>
    <t>P 003 00000001248 001</t>
  </si>
  <si>
    <t>CC20260707 OC1247 SERV MAQUINADO DE TAPA PORTABEAR</t>
  </si>
  <si>
    <t>P 002 00000002869 020</t>
  </si>
  <si>
    <t xml:space="preserve">73451001   CONSTRUCCIONES Y EDIFICACIONES                    </t>
  </si>
  <si>
    <t xml:space="preserve">73451001   </t>
  </si>
  <si>
    <t xml:space="preserve">CONSTRUCCIONES Y EDIFICACIONES                    </t>
  </si>
  <si>
    <t xml:space="preserve">73451501   MAQUINARIA Y EQUIPO                               </t>
  </si>
  <si>
    <t xml:space="preserve">73451501   </t>
  </si>
  <si>
    <t xml:space="preserve">MAQUINARIA Y EQUIPO                               </t>
  </si>
  <si>
    <t>P 003 00000001243 001</t>
  </si>
  <si>
    <t>CC20260701 OC1292 SERV DE REPARACION DE PORTABEARI</t>
  </si>
  <si>
    <t>P 001 00000002661 001</t>
  </si>
  <si>
    <t>P 003 00000001245 001</t>
  </si>
  <si>
    <t xml:space="preserve">CC20260710 OC1302 SERVICIO DE REPARACION DE MOTOR </t>
  </si>
  <si>
    <t>P 003 00000001247 001</t>
  </si>
  <si>
    <t>CC20260707 OC1246 SERVICIO DE MAQUINADO DE TAPA PO</t>
  </si>
  <si>
    <t xml:space="preserve">73452501   EQUIPO DE COMPUTACION Y COMUNICACION              </t>
  </si>
  <si>
    <t xml:space="preserve">73452501   </t>
  </si>
  <si>
    <t xml:space="preserve">EQUIPO DE COMPUTACION Y COMUNICACION              </t>
  </si>
  <si>
    <t>P 002 00000002842 001</t>
  </si>
  <si>
    <t>P 002 00000002843 001</t>
  </si>
  <si>
    <t xml:space="preserve">FC441 OC1294 COMPRA DE CARGADOR PORTATIL          </t>
  </si>
  <si>
    <t xml:space="preserve">73454001   FLOTA Y EQUIPO DE TRANSPORTE                      </t>
  </si>
  <si>
    <t xml:space="preserve">73454001   </t>
  </si>
  <si>
    <t xml:space="preserve">73501501   REPARACIONES LOCATIVAS                            </t>
  </si>
  <si>
    <t xml:space="preserve">73501501   </t>
  </si>
  <si>
    <t xml:space="preserve">REPARACIONES LOCATIVAS                            </t>
  </si>
  <si>
    <t xml:space="preserve">73550501   ALOJAMIENTO Y MANUTENCION                         </t>
  </si>
  <si>
    <t xml:space="preserve">73550501   </t>
  </si>
  <si>
    <t xml:space="preserve">ALOJAMIENTO Y MANUTENCION                         </t>
  </si>
  <si>
    <t xml:space="preserve">73952501   ELEMENTOS DE ASEO Y CAFETERIA                     </t>
  </si>
  <si>
    <t xml:space="preserve">73952501   </t>
  </si>
  <si>
    <t xml:space="preserve">ELEMENTOS DE ASEO Y CAFETERIA                     </t>
  </si>
  <si>
    <t>P 001 00000002659 001</t>
  </si>
  <si>
    <t>P 002 00000002864 003</t>
  </si>
  <si>
    <t>P 002 00000002864 013</t>
  </si>
  <si>
    <t xml:space="preserve">73953001   UTILES  PAPELERIA Y FOTOCOPIAS                    </t>
  </si>
  <si>
    <t xml:space="preserve">73953001   </t>
  </si>
  <si>
    <t xml:space="preserve">UTILES  PAPELERIA Y FOTOCOPIAS                    </t>
  </si>
  <si>
    <t xml:space="preserve">73953501   COMBUSTIBLES Y LUBRICANTES                        </t>
  </si>
  <si>
    <t xml:space="preserve">73953501   </t>
  </si>
  <si>
    <t xml:space="preserve">COMBUSTIBLES Y LUBRICANTES                        </t>
  </si>
  <si>
    <t>P 002 00000002846 001</t>
  </si>
  <si>
    <t>P 002 00000002863 001</t>
  </si>
  <si>
    <t>P 002 00000002863 006</t>
  </si>
  <si>
    <t xml:space="preserve">CM713 KQ54316416 REEMBOLSO CM                     </t>
  </si>
  <si>
    <t>P 002 00000002863 007</t>
  </si>
  <si>
    <t>P 002 00000002863 010</t>
  </si>
  <si>
    <t>P 002 00000002863 013</t>
  </si>
  <si>
    <t>P 002 00000002863 016</t>
  </si>
  <si>
    <t>P 002 00000002863 019</t>
  </si>
  <si>
    <t>P 002 00000002863 022</t>
  </si>
  <si>
    <t>P 002 00000002863 027</t>
  </si>
  <si>
    <t xml:space="preserve">CM713 KQ55297255 REEMBOLSO CM                     </t>
  </si>
  <si>
    <t>P 002 00000002863 028</t>
  </si>
  <si>
    <t>P 002 00000002863 031</t>
  </si>
  <si>
    <t xml:space="preserve">CM713 KQ56199971 REEMBOLSO CM                     </t>
  </si>
  <si>
    <t>P 002 00000002863 032</t>
  </si>
  <si>
    <t>P 002 00000002863 035</t>
  </si>
  <si>
    <t>P 002 00000002868 001</t>
  </si>
  <si>
    <t>P 002 00000002868 003</t>
  </si>
  <si>
    <t>P 002 00000002868 008</t>
  </si>
  <si>
    <t>P 002 00000002868 011</t>
  </si>
  <si>
    <t xml:space="preserve">CM715 K734405659 REEMBOLSO CM                     </t>
  </si>
  <si>
    <t>P 002 00000002868 012</t>
  </si>
  <si>
    <t>P 002 00000002868 015</t>
  </si>
  <si>
    <t>P 002 00000002868 018</t>
  </si>
  <si>
    <t>P 002 00000002868 023</t>
  </si>
  <si>
    <t>P 002 00000002868 028</t>
  </si>
  <si>
    <t>P 002 00000002868 033</t>
  </si>
  <si>
    <t xml:space="preserve">CM715 KQ56202041 REEMBOLSO CM                     </t>
  </si>
  <si>
    <t>P 002 00000002868 034</t>
  </si>
  <si>
    <t>P 002 00000002868 039</t>
  </si>
  <si>
    <t>P 002 00000002868 044</t>
  </si>
  <si>
    <t xml:space="preserve">CM715 KQ55300348 REEMBOLSO CM                     </t>
  </si>
  <si>
    <t>P 002 00000002868 045</t>
  </si>
  <si>
    <t>P 003 00000001256 001</t>
  </si>
  <si>
    <t xml:space="preserve">CC20260731 PARQUEADERO QHJ935                     </t>
  </si>
  <si>
    <t xml:space="preserve">73954501   TAXIS Y BUSES                                     </t>
  </si>
  <si>
    <t xml:space="preserve">73954501   </t>
  </si>
  <si>
    <t xml:space="preserve">TAXIS Y BUSES                                     </t>
  </si>
  <si>
    <t>P 003 00000001250 001</t>
  </si>
  <si>
    <t xml:space="preserve">CC20260701 AUXILIO DE TRANSPORTE                  </t>
  </si>
  <si>
    <t>P 003 00000001250 002</t>
  </si>
  <si>
    <t xml:space="preserve">CC20260716 AUXILIO DE TRANSPORTE                  </t>
  </si>
  <si>
    <t>P 003 00000001253 001</t>
  </si>
  <si>
    <t>P 003 00000001253 002</t>
  </si>
  <si>
    <t>P 003 00000001255 001</t>
  </si>
  <si>
    <t xml:space="preserve">CC20260731 AUXILIO DE TRANSPORTE                  </t>
  </si>
  <si>
    <t>P 003 00000001257 001</t>
  </si>
  <si>
    <t xml:space="preserve">CC20260718 AUXILIO DE TRANSPORTE                  </t>
  </si>
  <si>
    <t>P 003 00000001258 001</t>
  </si>
  <si>
    <t xml:space="preserve">73956001   CASINO Y RESTAURANTE                              </t>
  </si>
  <si>
    <t xml:space="preserve">73956001   </t>
  </si>
  <si>
    <t xml:space="preserve">CASINO Y RESTAURANTE                              </t>
  </si>
  <si>
    <t>P 002 00000002864 007</t>
  </si>
  <si>
    <t xml:space="preserve">CAFE QUINDIO S.A.S.                                                                                                                                   </t>
  </si>
  <si>
    <t xml:space="preserve">CM714 TBCB137664 REEMBOLSO CM                     </t>
  </si>
  <si>
    <t>P 002 00000002864 008</t>
  </si>
  <si>
    <t>P 002 00000002869 009</t>
  </si>
  <si>
    <t>P 002 00000002869 016</t>
  </si>
  <si>
    <t xml:space="preserve">NINANIA SAS                                                                                                                                           </t>
  </si>
  <si>
    <t xml:space="preserve">CM716 DBV32954 REEMBOLSO CM                       </t>
  </si>
  <si>
    <t xml:space="preserve">73956501   PARQUEADEROS Y PEAJES                             </t>
  </si>
  <si>
    <t xml:space="preserve">73956501   </t>
  </si>
  <si>
    <t xml:space="preserve">PARQUEADEROS Y PEAJES                             </t>
  </si>
  <si>
    <t>P 002 00000002864 005</t>
  </si>
  <si>
    <t>P 002 00000002864 010</t>
  </si>
  <si>
    <t>P 002 00000002864 019</t>
  </si>
  <si>
    <t xml:space="preserve">CM714 FPFL13559318 REEMBOLSO CM                   </t>
  </si>
  <si>
    <t>P 002 00000002864 020</t>
  </si>
  <si>
    <t xml:space="preserve">CM714 FPFL13585083 REEMBOLSO CM                   </t>
  </si>
  <si>
    <t>P 003 00000001251 001</t>
  </si>
  <si>
    <t xml:space="preserve">CC20260730 PARQUEADEO QHJ635                      </t>
  </si>
  <si>
    <t>P 002 00000002869 002</t>
  </si>
  <si>
    <t>P 002 00000002869 007</t>
  </si>
  <si>
    <t xml:space="preserve">CM716 FPFL17509132 REEMBOLSO CM                   </t>
  </si>
  <si>
    <t>P 002 00000002869 008</t>
  </si>
  <si>
    <t xml:space="preserve">CM716 FPFL17520360 REEMBOLSO CM                   </t>
  </si>
  <si>
    <t>P 002 00000002869 013</t>
  </si>
  <si>
    <t xml:space="preserve">CONCESIÓN COSTERA CARTAGENA BARRANQUILLA S.A.S.                                                                                                       </t>
  </si>
  <si>
    <t xml:space="preserve">CM716 PEAJES REEMBOLSO CM                         </t>
  </si>
  <si>
    <t>P 002 00000002869 015</t>
  </si>
  <si>
    <t xml:space="preserve">CM716 FPFL15053261 REEMBOLSO CM                   </t>
  </si>
  <si>
    <t xml:space="preserve">73959503   OTROS                                             </t>
  </si>
  <si>
    <t xml:space="preserve">73959503   </t>
  </si>
  <si>
    <t>P 002 00000002867 001</t>
  </si>
  <si>
    <t>P 002 00000002847 001</t>
  </si>
  <si>
    <t>P 002 00000002846 004</t>
  </si>
  <si>
    <t>P 002 00000002864 015</t>
  </si>
  <si>
    <t>P 002 00000002864 017</t>
  </si>
  <si>
    <t>P 002 00000002864 021</t>
  </si>
  <si>
    <t>P 002 00000002864 023</t>
  </si>
  <si>
    <t>P 002 00000002869 005</t>
  </si>
  <si>
    <t>P 002 00000002869 017</t>
  </si>
  <si>
    <t>P 003 00000001256 002</t>
  </si>
  <si>
    <t xml:space="preserve">CC20260717 COMPRA DE FILTROS                      </t>
  </si>
  <si>
    <t>P 003 00000001256 003</t>
  </si>
  <si>
    <t xml:space="preserve">CC20260716 COMPRA DE FILTROS                      </t>
  </si>
  <si>
    <t xml:space="preserve">73959505   MANEJO AMBIENTAL MINA                             </t>
  </si>
  <si>
    <t xml:space="preserve">73959505   </t>
  </si>
  <si>
    <t xml:space="preserve">MANEJO AMBIENTAL MINA                             </t>
  </si>
  <si>
    <t xml:space="preserve">Total 11051002   CAJA MENOR SABANILLA                              </t>
  </si>
  <si>
    <t xml:space="preserve">Total 11100512   BANCO COLMENA BCSC                                </t>
  </si>
  <si>
    <t xml:space="preserve">Total 11150501   MONEDA NACIONAL                                   </t>
  </si>
  <si>
    <t xml:space="preserve">Total 12050201   INVERSIONES EN SUBSIDIARIAS                       </t>
  </si>
  <si>
    <t xml:space="preserve">Total 12050297   INVERSIONES EN SUBSIDIARIAS IFRS                  </t>
  </si>
  <si>
    <t xml:space="preserve">Total 12503511   CORREVAL - FONVAL                                 </t>
  </si>
  <si>
    <t xml:space="preserve">Total 13050501   NACIONALES                                        </t>
  </si>
  <si>
    <t xml:space="preserve">Total 13300501   A PROVEEDORES NACIONALES                          </t>
  </si>
  <si>
    <t xml:space="preserve">Total 13300508   ANTICIPOS PARA COSTOS INCURRIDOS EN PROYECTOS     </t>
  </si>
  <si>
    <t xml:space="preserve">Total 13300509   ANTICIPOS PARA GASTOS INCURRIDOS EN OFICINA       </t>
  </si>
  <si>
    <t xml:space="preserve">Total 13300597   ANTICIPOS Y AVANCES IFRS                          </t>
  </si>
  <si>
    <t xml:space="preserve">Total 13551501   SERVICIOS PERSONAS JURIDICAS 4%                   </t>
  </si>
  <si>
    <t xml:space="preserve">Total 13551504   RENDIMIENTOS FINANCIEROS                          </t>
  </si>
  <si>
    <t xml:space="preserve">Total 13551505   COMPRAS EN GENERAL 2.5%                           </t>
  </si>
  <si>
    <t xml:space="preserve">Total 13551597   RETENCION EN LA FUENTE IFRS                       </t>
  </si>
  <si>
    <t xml:space="preserve">Total 13551701   IMPUESTO A LAS VENTAS RETENIDO                    </t>
  </si>
  <si>
    <t xml:space="preserve">Total 13551801   IMP DE IND Y COM RET BARRANQUILLA                 </t>
  </si>
  <si>
    <t xml:space="preserve">Total 13552001   SOBRAN LIQUID PRIV  IMPUESTO                      </t>
  </si>
  <si>
    <t xml:space="preserve">Total 13552005   SOBRAN LIQUID PRIV  IMP ICA                       </t>
  </si>
  <si>
    <t xml:space="preserve">Total 13552097   SOBRANT EN LIQUIDACION PRIVADA DE IMPTO IFRS      </t>
  </si>
  <si>
    <t xml:space="preserve">Total 13559504   AUTO RETENCION RENTA (ANTES CREE)                 </t>
  </si>
  <si>
    <t xml:space="preserve">Total 13559507   RETENCION PAGADA EN EXCESO                        </t>
  </si>
  <si>
    <t xml:space="preserve">Total 13559597   OTROS IFRS                                        </t>
  </si>
  <si>
    <t xml:space="preserve">Total 13653001   RESPONSABILIDADES                                 </t>
  </si>
  <si>
    <t xml:space="preserve">Total 13802001   CUENTAS POR COBRAR DE TERCEROS                    </t>
  </si>
  <si>
    <t xml:space="preserve">Total 13809502   OTROS EMPRESARIALES                               </t>
  </si>
  <si>
    <t xml:space="preserve">Total 13990501   CLIENTES                                          </t>
  </si>
  <si>
    <t xml:space="preserve">Total 13990597   CLIENTES IFRS                                     </t>
  </si>
  <si>
    <t xml:space="preserve">Total 15400501   AUTOS  CAMIONETAS Y CAMPEROS                      </t>
  </si>
  <si>
    <t xml:space="preserve">Total 15923501   FLOTA Y EQUIPO DE TRANSPORTE                      </t>
  </si>
  <si>
    <t xml:space="preserve">Total 17959597   ACTIVO POR IMPUESTO DIFERIDO IFRS                 </t>
  </si>
  <si>
    <t xml:space="preserve">Total 22050101   NACIONALES                                        </t>
  </si>
  <si>
    <t xml:space="preserve">Total 22050501   PROVEEDORES NACIONALES                            </t>
  </si>
  <si>
    <t xml:space="preserve">Total 23150101   COMPAÑIAS VINCULADAS                              </t>
  </si>
  <si>
    <t xml:space="preserve">Total 23359501   OTROS                                             </t>
  </si>
  <si>
    <t xml:space="preserve">Total 23650101   PAGO RETEFUENTE DIAN                              </t>
  </si>
  <si>
    <t xml:space="preserve">Total 23650501   SALARIOS Y PAGOS LABORALES                        </t>
  </si>
  <si>
    <t xml:space="preserve">Total 23651502   HONORARIOS PERSONAS JURIDICAS 11%                 </t>
  </si>
  <si>
    <t xml:space="preserve">Total 23652501   SERVICIOS PERSONAS JURIDICAS 4%                   </t>
  </si>
  <si>
    <t xml:space="preserve">Total 23652502   SERVICIOS PERSONAS NATURALES 6%                   </t>
  </si>
  <si>
    <t xml:space="preserve">Total 23652503   SERVICIOS TRANSPORTE DE CARGA 1%                  </t>
  </si>
  <si>
    <t xml:space="preserve">Total 23652504   SERVICIOS TEMPORALES  VIGILANCIA Y ASEO 2%        </t>
  </si>
  <si>
    <t xml:space="preserve">Total 23652508   SERVICIOS EMPRESAS TEMPORALES DE EMPLEO 1%        </t>
  </si>
  <si>
    <t xml:space="preserve">Total 23652513   SERVICIOS INTEGRALES DE SALUD  2%                 </t>
  </si>
  <si>
    <t xml:space="preserve">Total 23653002   ARRENDAMIENTO DE BIENES MUEBLES 4%                </t>
  </si>
  <si>
    <t xml:space="preserve">Total 23654001   COMPRAS EN GENERAL 3.5%                           </t>
  </si>
  <si>
    <t xml:space="preserve">Total 23654002   COMPRAS COMBUSTIBLES 0.1%                         </t>
  </si>
  <si>
    <t xml:space="preserve">Total 23654005   COMPRAS EN GENERAL 2.5%                           </t>
  </si>
  <si>
    <t xml:space="preserve">Total 23657502   AUTO RETENCION RENTA (ANTES CREE)                 </t>
  </si>
  <si>
    <t xml:space="preserve">Total 23670101   IVA RETENIDO EN COMPRAS AL REGIMEN COMUN 19% IVA  </t>
  </si>
  <si>
    <t xml:space="preserve">Total 23670201   RETENCION DE IMPUESTO A LAS VENTAS IVA 15%        </t>
  </si>
  <si>
    <t>Total 23680202   ICA BQ 202 10 X 1000 COMB LUB VEH DROG PA BARRANQU</t>
  </si>
  <si>
    <t>Total 23680203   ICA BQ 203 10 X MIL COMERCIO AL POR MAYO Y POR MEN</t>
  </si>
  <si>
    <t xml:space="preserve">Total 23680205   ICA BQ 12 5 X 1000 DEMAS ACTIVIDADES COMERCIALES  </t>
  </si>
  <si>
    <t xml:space="preserve">Total 23680302   ICA BQ 302 8 X MIL TRAS AS ALQ EQ CNST BARRANQUI  </t>
  </si>
  <si>
    <t xml:space="preserve">Total 23680306   ICA BQ 12 5 X 1000 DEMAS ACTIVIDADES DE SERVICIO  </t>
  </si>
  <si>
    <t xml:space="preserve">Total 23681001   PAGO ICA DISTRITO BARRANQUILLA                    </t>
  </si>
  <si>
    <t xml:space="preserve">Total 23700501   APORTES A ENTIDADES PROMOTORAS DE SALUD           </t>
  </si>
  <si>
    <t xml:space="preserve">Total 23700601   APORTES A ADMINISTRADORAS DE RIESGOS PRO          </t>
  </si>
  <si>
    <t xml:space="preserve">Total 23701001   APORTES AL I C B F   SENA Y CAJAS DE COM          </t>
  </si>
  <si>
    <t xml:space="preserve">Total 23709501   OTROS                                             </t>
  </si>
  <si>
    <t xml:space="preserve">Total 23803001   FONDOS DE CESANTIAS Y/O PENSIONES                 </t>
  </si>
  <si>
    <t xml:space="preserve">Total 23809501   OTROS                                             </t>
  </si>
  <si>
    <t xml:space="preserve">Total 24080102   IVA GENERADO POR SERVICIOS                        </t>
  </si>
  <si>
    <t xml:space="preserve">Total 24080315   IVA DESCONTABLE R.COMUN SERVICIO 5%               </t>
  </si>
  <si>
    <t xml:space="preserve">Total 24080325   IVA DESCONTABLE R.COMUN COMPRAS 19%               </t>
  </si>
  <si>
    <t xml:space="preserve">Total 24080326   IVA DESCONTABLE R.COMUN SERVICIO 19%              </t>
  </si>
  <si>
    <t xml:space="preserve">Total 24080327   IVA DESCONTABLE R.COMUN COMPRAS 5% CAYPA          </t>
  </si>
  <si>
    <t xml:space="preserve">Total 24089901   PAGO IVA DIAN                                     </t>
  </si>
  <si>
    <t xml:space="preserve">Total 25050501   SALARIOS POR PAGAR                                </t>
  </si>
  <si>
    <t xml:space="preserve">Total 25100501   LEY LABORAL ANTERIOR                              </t>
  </si>
  <si>
    <t xml:space="preserve">Total 25101001   LEY 50 DE 1990 Y NORMAS POSTERIORES               </t>
  </si>
  <si>
    <t xml:space="preserve">Total 25150501   INTERESES SOBRE CESANTIAS                         </t>
  </si>
  <si>
    <t xml:space="preserve">Total 25250501   VACACIONES CONSOLIDADAS                           </t>
  </si>
  <si>
    <t xml:space="preserve">Total 25300501   PRIMAS                                            </t>
  </si>
  <si>
    <t xml:space="preserve">Total 26100501   CESANTIAS                                         </t>
  </si>
  <si>
    <t xml:space="preserve">Total 26101001   INTERESES SOBRE CESANTIAS                         </t>
  </si>
  <si>
    <t xml:space="preserve">Total 26101501   VACACIONES                                        </t>
  </si>
  <si>
    <t xml:space="preserve">Total 26102001   PRIMA DE SERVICIOS                                </t>
  </si>
  <si>
    <t xml:space="preserve">Total 28050501   DE CLIENTES                                       </t>
  </si>
  <si>
    <t xml:space="preserve">Total 31050501   CAPITAL AUTORIZADO                                </t>
  </si>
  <si>
    <t xml:space="preserve">Total 31051001   CAPITAL POR SUSCRIBIR (DB)                        </t>
  </si>
  <si>
    <t xml:space="preserve">Total 36050501   UTILIDAD DEL EJERCICIO                            </t>
  </si>
  <si>
    <t xml:space="preserve">Total 36050597   UTILIDAD DEL EJERCICIO NIIF                       </t>
  </si>
  <si>
    <t xml:space="preserve">Total 37050201   UTILIDADES O EXCEDENTES ACUMULADOS GRAVADOS       </t>
  </si>
  <si>
    <t xml:space="preserve">Total 37050297   UTILIDADES O EXCEDENTES ACUMULADOS IFRS           </t>
  </si>
  <si>
    <t xml:space="preserve">Total 41359501   VENTA DE OTROS PRODUCTOS                          </t>
  </si>
  <si>
    <t xml:space="preserve">Total 41459501   ACTIVIDADES CONEXAS                               </t>
  </si>
  <si>
    <t xml:space="preserve">Total 41559003   MANTENIMIENTO Y REPARAC MAQUINAR                  </t>
  </si>
  <si>
    <t xml:space="preserve">Total 42100502   INTERESES BANCARIOS Y DE INVERSIONES FINANCIERAS  </t>
  </si>
  <si>
    <t xml:space="preserve">Total 42505001   REINTEGRO DE OTROS COSTOS Y GASTOS                </t>
  </si>
  <si>
    <t xml:space="preserve">Total 51050601   SUELDOS                                           </t>
  </si>
  <si>
    <t xml:space="preserve">Total 51051501   HORAS EXTRAS Y RECARGOS                           </t>
  </si>
  <si>
    <t xml:space="preserve">Total 51052701   AUXILIO DE TRANSPORTE                             </t>
  </si>
  <si>
    <t xml:space="preserve">Total 51053001   CESANTIAS                                         </t>
  </si>
  <si>
    <t xml:space="preserve">Total 51053301   INTERESES SOBRE CESANTIAS                         </t>
  </si>
  <si>
    <t xml:space="preserve">Total 51053601   PRIMA DE SERVICIOS                                </t>
  </si>
  <si>
    <t xml:space="preserve">Total 51053901   VACACIONES                                        </t>
  </si>
  <si>
    <t xml:space="preserve">Total 51056801   APORTES ADMINISTRADORAS DE RIESGOS PROFE          </t>
  </si>
  <si>
    <t xml:space="preserve">Total 51056901   APORTES A ENTIDADES PROMOTORAS DE SALUD           </t>
  </si>
  <si>
    <t xml:space="preserve">Total 51057001   APORTES FONDOS DE PENSIONES                       </t>
  </si>
  <si>
    <t xml:space="preserve">Total 51057201   APORTES CAJAS DE COMPESACION FAMILIAR             </t>
  </si>
  <si>
    <t xml:space="preserve">Total 51059516   AUXILIO DE ALIMENTACION                           </t>
  </si>
  <si>
    <t xml:space="preserve">Total 51109501   OTROS                                             </t>
  </si>
  <si>
    <t xml:space="preserve">Total 51109502   HONORARIOS INDEPENDIENTES                         </t>
  </si>
  <si>
    <t xml:space="preserve">Total 51150501   INDUSTRIA Y COMERCIO                              </t>
  </si>
  <si>
    <t xml:space="preserve">Total 51154001   DE VEHICULOS                                      </t>
  </si>
  <si>
    <t xml:space="preserve">Total 51157001   IVA DESCONTABLE                                   </t>
  </si>
  <si>
    <t xml:space="preserve">Total 51158501   SOBRE TASA BOMBERIL                               </t>
  </si>
  <si>
    <t xml:space="preserve">Total 51159501   GRAVAMEN AL MOVIMIENTO FINANCIERO DEDUCIBLE       </t>
  </si>
  <si>
    <t xml:space="preserve">Total 51159502   GRAVAMEN AL MOVIMIENTO FINANCIERO NO DEDUCIBLE    </t>
  </si>
  <si>
    <t xml:space="preserve">Total 51306001   RESPONSABILIDAD CIVIL Y EXTRACONTRACTUAL          </t>
  </si>
  <si>
    <t xml:space="preserve">Total 51307501   OBLIGATORIO ACCIDENTE DE TRANSITO                 </t>
  </si>
  <si>
    <t xml:space="preserve">Total 51401001   REGISTRO MERCANTIL                                </t>
  </si>
  <si>
    <t xml:space="preserve">Total 51409501   OTROS                                             </t>
  </si>
  <si>
    <t xml:space="preserve">Total 51959502   OTROS DIVERSOS                                    </t>
  </si>
  <si>
    <t xml:space="preserve">Total 53051501   COMISIONES  BANCARIAS                             </t>
  </si>
  <si>
    <t xml:space="preserve">Total 53052004   INTERESES POR MORA                                </t>
  </si>
  <si>
    <t xml:space="preserve">Total 53059501   OTROS                                             </t>
  </si>
  <si>
    <t xml:space="preserve">Total 53152002   IMPUESTOS ASUMIDOS RETENCION EN LA FUENTE         </t>
  </si>
  <si>
    <t xml:space="preserve">Total 53152005   IMPUESTOS ASUMIDOS ICA                            </t>
  </si>
  <si>
    <t xml:space="preserve">Total 53952001   MULTAS  SANCIONES Y LITIGIOS                      </t>
  </si>
  <si>
    <t xml:space="preserve">Total 53959501   AJUSTE AL PESO                                    </t>
  </si>
  <si>
    <t xml:space="preserve">Total 53959505   OTROS                                             </t>
  </si>
  <si>
    <t xml:space="preserve">Total 71010101   MATERIALES Y REPUESTOS                            </t>
  </si>
  <si>
    <t xml:space="preserve">Total 72050601   SUELDOS                                           </t>
  </si>
  <si>
    <t xml:space="preserve">Total 72051501   HORAS EXTRAS Y RECARGOS                           </t>
  </si>
  <si>
    <t xml:space="preserve">Total 72052401   INCAPACIDADES                                     </t>
  </si>
  <si>
    <t xml:space="preserve">Total 72052701   AUXILIO DE TRANSPORTE                             </t>
  </si>
  <si>
    <t xml:space="preserve">Total 72053001   CESANTIAS                                         </t>
  </si>
  <si>
    <t xml:space="preserve">Total 72053301   INTERESES SOBRE CESANTIAS                         </t>
  </si>
  <si>
    <t xml:space="preserve">Total 72053601   PRIMA                                             </t>
  </si>
  <si>
    <t xml:space="preserve">Total 72053901   VACACIONES                                        </t>
  </si>
  <si>
    <t xml:space="preserve">Total 72055101   DOTACION Y SUMINISTRO A TRABAJADORES              </t>
  </si>
  <si>
    <t xml:space="preserve">Total 72056801   RIESGOS LABORALES                                 </t>
  </si>
  <si>
    <t xml:space="preserve">Total 72056901   APORTES A ENTIDADES PROMOTORAS DE SALUD           </t>
  </si>
  <si>
    <t xml:space="preserve">Total 72057001   APORTES A FONDOS DE PENSIONES Y/O CESANT          </t>
  </si>
  <si>
    <t xml:space="preserve">Total 72057201   APORTES A CAJAS DE COMPENSACION FAMILIAR          </t>
  </si>
  <si>
    <t xml:space="preserve">Total 72059516   AUXILIO DE ALIMENTACION - CONVENCIONAL/PACTO      </t>
  </si>
  <si>
    <t xml:space="preserve">Total 72351003   GASTOS MEDICOS Y DROGAS                           </t>
  </si>
  <si>
    <t xml:space="preserve">Total 73109501   HONORARIOS INDEPENDIENTES                         </t>
  </si>
  <si>
    <t xml:space="preserve">Total 73109502   OTROS HONORARIOS                                  </t>
  </si>
  <si>
    <t xml:space="preserve">Total 73209501   OTROS                                             </t>
  </si>
  <si>
    <t xml:space="preserve">Total 73302001   VIDA COLECTIVA                                    </t>
  </si>
  <si>
    <t xml:space="preserve">Total 73350501   ASEO Y VIGILANCIA                                 </t>
  </si>
  <si>
    <t xml:space="preserve">Total 73351001   TEMPORALES                                        </t>
  </si>
  <si>
    <t xml:space="preserve">Total 73352501   ACUEDUCTO Y ALCANTARILLADO                        </t>
  </si>
  <si>
    <t xml:space="preserve">Total 73353001   ENERGIA ELECTRICA                                 </t>
  </si>
  <si>
    <t xml:space="preserve">Total 73354001   CORREO  PORTES Y TELEGRAMAS                       </t>
  </si>
  <si>
    <t xml:space="preserve">Total 73355003   OTROS TRANSPORTES                                 </t>
  </si>
  <si>
    <t xml:space="preserve">Total 73359505   SERVICIOS DE MOVIMIENTO DE ESTERIL                </t>
  </si>
  <si>
    <t xml:space="preserve">Total 73359506   SERVICIOS DE SOPORTE CARGUE-EXTRACCION-TRANSPORTE </t>
  </si>
  <si>
    <t xml:space="preserve">Total 73359595   OTROS SERVICIOS                                   </t>
  </si>
  <si>
    <t xml:space="preserve">Total 73451001   CONSTRUCCIONES Y EDIFICACIONES                    </t>
  </si>
  <si>
    <t xml:space="preserve">Total 73451501   MAQUINARIA Y EQUIPO                               </t>
  </si>
  <si>
    <t xml:space="preserve">Total 73452501   EQUIPO DE COMPUTACION Y COMUNICACION              </t>
  </si>
  <si>
    <t xml:space="preserve">Total 73454001   FLOTA Y EQUIPO DE TRANSPORTE                      </t>
  </si>
  <si>
    <t xml:space="preserve">Total 73501501   REPARACIONES LOCATIVAS                            </t>
  </si>
  <si>
    <t xml:space="preserve">Total 73550501   ALOJAMIENTO Y MANUTENCION                         </t>
  </si>
  <si>
    <t xml:space="preserve">Total 73952501   ELEMENTOS DE ASEO Y CAFETERIA                     </t>
  </si>
  <si>
    <t xml:space="preserve">Total 73953001   UTILES  PAPELERIA Y FOTOCOPIAS                    </t>
  </si>
  <si>
    <t xml:space="preserve">Total 73953501   COMBUSTIBLES Y LUBRICANTES                        </t>
  </si>
  <si>
    <t xml:space="preserve">Total 73954501   TAXIS Y BUSES                                     </t>
  </si>
  <si>
    <t xml:space="preserve">Total 73956001   CASINO Y RESTAURANTE                              </t>
  </si>
  <si>
    <t xml:space="preserve">Total 73956501   PARQUEADEROS Y PEAJES                             </t>
  </si>
  <si>
    <t xml:space="preserve">Total 73959503   OTROS                                             </t>
  </si>
  <si>
    <t xml:space="preserve">Total 73959505   MANEJO AMBIENTAL MINA                             </t>
  </si>
  <si>
    <t>Total general</t>
  </si>
  <si>
    <t>Procesado en: 2026/08/06  15:12:57:13</t>
  </si>
  <si>
    <t>De: JUL  1/2026 A: JUL 31/2026</t>
  </si>
  <si>
    <t>MOVIMIENTO CUENTAS - GENERAL</t>
  </si>
  <si>
    <t>Siigo - TECNICOS Y LOGISTICOS DEL CARIBE S.A.S</t>
  </si>
  <si>
    <t>JUL/31/2026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</si>
</sst>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,##0.00_);[Red]\(##,##0.00\)"/>
    <numFmt numFmtId="165" formatCode="yyyy/mm/dd"/>
    <numFmt numFmtId="166" formatCode="##,##0_);[Red]\(##,##0\)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Verdana"/>
      <family val="2"/>
    </font>
    <font>
      <b/>
      <sz val="10"/>
      <color theme="1"/>
      <name val="Verdana   "/>
    </font>
    <font>
      <b/>
      <sz val="10"/>
      <color theme="1"/>
      <name val="Verdana"/>
      <family val="2"/>
    </font>
    <font>
      <b/>
      <sz val="18"/>
      <color theme="1"/>
      <name val="Verdana   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9">
    <xf numFmtId="0" fontId="0" fillId="0" borderId="0" xfId="0"/>
    <xf numFmtId="0" fontId="18" fillId="0" borderId="0" xfId="0" applyFont="1"/>
    <xf numFmtId="164" fontId="18" fillId="0" borderId="0" xfId="0" applyNumberFormat="1" applyFont="1"/>
    <xf numFmtId="165" fontId="18" fillId="0" borderId="0" xfId="0" applyNumberFormat="1" applyFont="1"/>
    <xf numFmtId="166" fontId="18" fillId="0" borderId="0" xfId="0" applyNumberFormat="1" applyFont="1"/>
    <xf numFmtId="0" fontId="18" fillId="33" borderId="0" xfId="0" applyFont="1" applyFill="1"/>
    <xf numFmtId="164" fontId="18" fillId="33" borderId="0" xfId="0" applyNumberFormat="1" applyFont="1" applyFill="1"/>
    <xf numFmtId="165" fontId="18" fillId="33" borderId="0" xfId="0" applyNumberFormat="1" applyFont="1" applyFill="1"/>
    <xf numFmtId="166" fontId="18" fillId="33" borderId="0" xfId="0" applyNumberFormat="1" applyFont="1" applyFill="1"/>
    <xf numFmtId="0" fontId="19" fillId="33" borderId="0" xfId="0" applyFont="1" applyFill="1"/>
    <xf numFmtId="164" fontId="19" fillId="33" borderId="0" xfId="0" applyNumberFormat="1" applyFont="1" applyFill="1"/>
    <xf numFmtId="165" fontId="19" fillId="33" borderId="0" xfId="0" applyNumberFormat="1" applyFont="1" applyFill="1"/>
    <xf numFmtId="166" fontId="19" fillId="33" borderId="0" xfId="0" applyNumberFormat="1" applyFont="1" applyFill="1"/>
    <xf numFmtId="0" fontId="20" fillId="0" borderId="0" xfId="0" applyFont="1"/>
    <xf numFmtId="0" fontId="19" fillId="33" borderId="0" xfId="0" applyFont="1" applyFill="1" applyAlignment="1">
      <alignment horizontal="right"/>
    </xf>
    <xf numFmtId="0" fontId="19" fillId="33" borderId="0" xfId="0" applyFont="1" applyFill="1" applyAlignment="1">
      <alignment horizontal="left"/>
    </xf>
    <xf numFmtId="0" fontId="0" fillId="33" borderId="0" xfId="0" applyFill="1" applyAlignment="1">
      <alignment horizontal="left"/>
    </xf>
    <xf numFmtId="0" fontId="21" fillId="33" borderId="0" xfId="0" applyFont="1" applyFill="1" applyAlignment="1">
      <alignment horizontal="center"/>
    </xf>
    <xf numFmtId="0" fontId="0" fillId="33" borderId="0" xfId="0" applyFill="1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65"/>
  <sheetViews>
    <sheetView tabSelected="1" zoomScale="80" zoomScaleNormal="80" workbookViewId="0">
      <selection sqref="A1:O1"/>
    </sheetView>
  </sheetViews>
  <sheetFormatPr baseColWidth="10" defaultRowHeight="12.75" outlineLevelRow="2"/>
  <cols>
    <col min="1" max="1" width="83.42578125" style="1" bestFit="1" customWidth="1"/>
    <col min="2" max="2" width="12.28515625" style="1" hidden="1" customWidth="1"/>
    <col min="3" max="3" width="60.7109375" style="1" hidden="1" customWidth="1"/>
    <col min="4" max="4" width="19.42578125" style="2" bestFit="1" customWidth="1"/>
    <col min="5" max="5" width="24.140625" style="1" bestFit="1" customWidth="1"/>
    <col min="6" max="6" width="11.85546875" style="3" bestFit="1" customWidth="1"/>
    <col min="7" max="7" width="15.42578125" style="4" bestFit="1" customWidth="1"/>
    <col min="8" max="8" width="140.28515625" style="1" bestFit="1" customWidth="1"/>
    <col min="9" max="9" width="61.85546875" style="1" bestFit="1" customWidth="1"/>
    <col min="10" max="10" width="74.5703125" style="1" bestFit="1" customWidth="1"/>
    <col min="11" max="11" width="15.42578125" style="2" bestFit="1" customWidth="1"/>
    <col min="12" max="12" width="9.7109375" style="1" bestFit="1" customWidth="1"/>
    <col min="13" max="14" width="16.7109375" style="2" bestFit="1" customWidth="1"/>
    <col min="15" max="15" width="19.42578125" style="2" bestFit="1" customWidth="1"/>
    <col min="16" max="16" width="255.7109375" style="1" hidden="1" customWidth="1"/>
    <col min="17" max="16384" width="11.42578125" style="1"/>
  </cols>
  <sheetData>
    <row r="1" spans="1:16" ht="15">
      <c r="A1" s="15" t="s">
        <v>1520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4" t="s">
        <v>1521</v>
      </c>
    </row>
    <row r="2" spans="1:16" ht="23.25">
      <c r="A2" s="17" t="s">
        <v>1519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</row>
    <row r="3" spans="1:16" ht="23.25">
      <c r="A3" s="17" t="s">
        <v>1518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</row>
    <row r="4" spans="1:16">
      <c r="A4" s="5"/>
      <c r="B4" s="5"/>
      <c r="C4" s="5"/>
      <c r="D4" s="6"/>
      <c r="E4" s="5"/>
      <c r="F4" s="7"/>
      <c r="G4" s="8"/>
      <c r="H4" s="5"/>
      <c r="I4" s="5"/>
      <c r="J4" s="5"/>
      <c r="K4" s="6"/>
      <c r="L4" s="5"/>
      <c r="M4" s="6"/>
      <c r="N4" s="6"/>
      <c r="O4" s="6"/>
      <c r="P4" s="5"/>
    </row>
    <row r="5" spans="1:16" ht="15">
      <c r="A5" s="15" t="s">
        <v>1517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</row>
    <row r="7" spans="1:16">
      <c r="A7" s="9" t="s">
        <v>0</v>
      </c>
      <c r="B7" s="9" t="s">
        <v>1</v>
      </c>
      <c r="C7" s="9" t="s">
        <v>2</v>
      </c>
      <c r="D7" s="10" t="s">
        <v>3</v>
      </c>
      <c r="E7" s="9" t="s">
        <v>4</v>
      </c>
      <c r="F7" s="11" t="s">
        <v>5</v>
      </c>
      <c r="G7" s="12" t="s">
        <v>6</v>
      </c>
      <c r="H7" s="9" t="s">
        <v>7</v>
      </c>
      <c r="I7" s="9" t="s">
        <v>2</v>
      </c>
      <c r="J7" s="9" t="s">
        <v>8</v>
      </c>
      <c r="K7" s="10" t="s">
        <v>9</v>
      </c>
      <c r="L7" s="9" t="s">
        <v>10</v>
      </c>
      <c r="M7" s="10" t="s">
        <v>11</v>
      </c>
      <c r="N7" s="10" t="s">
        <v>12</v>
      </c>
      <c r="O7" s="10" t="s">
        <v>13</v>
      </c>
      <c r="P7" s="9" t="s">
        <v>14</v>
      </c>
    </row>
    <row r="8" spans="1:16" outlineLevel="2">
      <c r="A8" s="1" t="s">
        <v>15</v>
      </c>
      <c r="B8" s="1" t="s">
        <v>16</v>
      </c>
      <c r="C8" s="1" t="s">
        <v>17</v>
      </c>
      <c r="D8" s="2">
        <v>3000000</v>
      </c>
      <c r="E8" s="1" t="s">
        <v>18</v>
      </c>
      <c r="F8" s="3" t="s">
        <v>19</v>
      </c>
      <c r="G8" s="4" t="s">
        <v>20</v>
      </c>
      <c r="H8" s="1" t="s">
        <v>21</v>
      </c>
      <c r="I8" s="1" t="s">
        <v>22</v>
      </c>
      <c r="J8" s="1" t="s">
        <v>23</v>
      </c>
      <c r="K8" s="2" t="s">
        <v>24</v>
      </c>
      <c r="L8" s="1" t="s">
        <v>25</v>
      </c>
      <c r="M8" s="2" t="s">
        <v>26</v>
      </c>
      <c r="N8" s="2" t="s">
        <v>26</v>
      </c>
      <c r="O8" s="2">
        <v>3000000</v>
      </c>
      <c r="P8" s="1" t="s">
        <v>27</v>
      </c>
    </row>
    <row r="9" spans="1:16" outlineLevel="1">
      <c r="A9" s="13" t="s">
        <v>1349</v>
      </c>
      <c r="M9" s="2">
        <f>SUBTOTAL(9,M8:M8)</f>
        <v>0</v>
      </c>
      <c r="N9" s="2">
        <f>SUBTOTAL(9,N8:N8)</f>
        <v>0</v>
      </c>
    </row>
    <row r="10" spans="1:16" outlineLevel="2">
      <c r="A10" s="1" t="s">
        <v>28</v>
      </c>
      <c r="B10" s="1" t="s">
        <v>29</v>
      </c>
      <c r="C10" s="1" t="s">
        <v>30</v>
      </c>
      <c r="D10" s="2">
        <v>-3584867.72</v>
      </c>
      <c r="E10" s="1" t="s">
        <v>31</v>
      </c>
      <c r="F10" s="3">
        <v>46204</v>
      </c>
      <c r="G10" s="4">
        <v>0</v>
      </c>
      <c r="H10" s="1" t="s">
        <v>21</v>
      </c>
      <c r="I10" s="1" t="s">
        <v>32</v>
      </c>
      <c r="J10" s="1" t="s">
        <v>33</v>
      </c>
      <c r="K10" s="2" t="s">
        <v>24</v>
      </c>
      <c r="L10" s="1" t="s">
        <v>25</v>
      </c>
      <c r="M10" s="2" t="s">
        <v>26</v>
      </c>
      <c r="N10" s="2">
        <v>3919732</v>
      </c>
      <c r="O10" s="2">
        <v>-7504599.7199999997</v>
      </c>
      <c r="P10" s="1" t="s">
        <v>27</v>
      </c>
    </row>
    <row r="11" spans="1:16" outlineLevel="2">
      <c r="A11" s="1" t="s">
        <v>28</v>
      </c>
      <c r="B11" s="1" t="s">
        <v>29</v>
      </c>
      <c r="C11" s="1" t="s">
        <v>30</v>
      </c>
      <c r="D11" s="2">
        <v>-3584867.72</v>
      </c>
      <c r="E11" s="1" t="s">
        <v>34</v>
      </c>
      <c r="F11" s="3">
        <v>46204</v>
      </c>
      <c r="G11" s="4">
        <v>0</v>
      </c>
      <c r="H11" s="1" t="s">
        <v>21</v>
      </c>
      <c r="I11" s="1" t="s">
        <v>32</v>
      </c>
      <c r="J11" s="1" t="s">
        <v>33</v>
      </c>
      <c r="K11" s="2" t="s">
        <v>24</v>
      </c>
      <c r="L11" s="1" t="s">
        <v>25</v>
      </c>
      <c r="M11" s="2" t="s">
        <v>26</v>
      </c>
      <c r="N11" s="2">
        <v>21013823</v>
      </c>
      <c r="O11" s="2">
        <v>-28518422.719999999</v>
      </c>
      <c r="P11" s="1" t="s">
        <v>27</v>
      </c>
    </row>
    <row r="12" spans="1:16" outlineLevel="2">
      <c r="A12" s="1" t="s">
        <v>28</v>
      </c>
      <c r="B12" s="1" t="s">
        <v>29</v>
      </c>
      <c r="C12" s="1" t="s">
        <v>30</v>
      </c>
      <c r="D12" s="2">
        <v>-3584867.72</v>
      </c>
      <c r="E12" s="1" t="s">
        <v>35</v>
      </c>
      <c r="F12" s="3">
        <v>46204</v>
      </c>
      <c r="G12" s="4">
        <v>0</v>
      </c>
      <c r="H12" s="1" t="s">
        <v>21</v>
      </c>
      <c r="I12" s="1" t="s">
        <v>36</v>
      </c>
      <c r="J12" s="1" t="s">
        <v>23</v>
      </c>
      <c r="K12" s="2" t="s">
        <v>24</v>
      </c>
      <c r="L12" s="1" t="s">
        <v>25</v>
      </c>
      <c r="M12" s="2">
        <v>20000000</v>
      </c>
      <c r="N12" s="2" t="s">
        <v>26</v>
      </c>
      <c r="O12" s="2">
        <v>-8518422.7200000007</v>
      </c>
      <c r="P12" s="1" t="s">
        <v>27</v>
      </c>
    </row>
    <row r="13" spans="1:16" outlineLevel="2">
      <c r="A13" s="1" t="s">
        <v>28</v>
      </c>
      <c r="B13" s="1" t="s">
        <v>29</v>
      </c>
      <c r="C13" s="1" t="s">
        <v>30</v>
      </c>
      <c r="D13" s="2">
        <v>-3584867.72</v>
      </c>
      <c r="E13" s="1" t="s">
        <v>37</v>
      </c>
      <c r="F13" s="3">
        <v>46204</v>
      </c>
      <c r="G13" s="4">
        <v>0</v>
      </c>
      <c r="H13" s="1" t="s">
        <v>21</v>
      </c>
      <c r="I13" s="1" t="s">
        <v>36</v>
      </c>
      <c r="J13" s="1" t="s">
        <v>23</v>
      </c>
      <c r="K13" s="2" t="s">
        <v>24</v>
      </c>
      <c r="L13" s="1" t="s">
        <v>25</v>
      </c>
      <c r="M13" s="2">
        <v>19362658</v>
      </c>
      <c r="N13" s="2" t="s">
        <v>26</v>
      </c>
      <c r="O13" s="2">
        <v>10844235.279999999</v>
      </c>
      <c r="P13" s="1" t="s">
        <v>27</v>
      </c>
    </row>
    <row r="14" spans="1:16" outlineLevel="2">
      <c r="A14" s="1" t="s">
        <v>28</v>
      </c>
      <c r="B14" s="1" t="s">
        <v>29</v>
      </c>
      <c r="C14" s="1" t="s">
        <v>30</v>
      </c>
      <c r="D14" s="2">
        <v>-3584867.72</v>
      </c>
      <c r="E14" s="1" t="s">
        <v>38</v>
      </c>
      <c r="F14" s="3">
        <v>46204</v>
      </c>
      <c r="G14" s="4">
        <v>0</v>
      </c>
      <c r="H14" s="1" t="s">
        <v>21</v>
      </c>
      <c r="I14" s="1" t="s">
        <v>39</v>
      </c>
      <c r="J14" s="1" t="s">
        <v>23</v>
      </c>
      <c r="K14" s="2" t="s">
        <v>24</v>
      </c>
      <c r="L14" s="1" t="s">
        <v>25</v>
      </c>
      <c r="M14" s="2">
        <v>10000000</v>
      </c>
      <c r="N14" s="2" t="s">
        <v>26</v>
      </c>
      <c r="O14" s="2">
        <v>20844235.280000001</v>
      </c>
      <c r="P14" s="1" t="s">
        <v>27</v>
      </c>
    </row>
    <row r="15" spans="1:16" outlineLevel="2">
      <c r="A15" s="1" t="s">
        <v>28</v>
      </c>
      <c r="B15" s="1" t="s">
        <v>29</v>
      </c>
      <c r="C15" s="1" t="s">
        <v>30</v>
      </c>
      <c r="D15" s="2">
        <v>-3584867.72</v>
      </c>
      <c r="E15" s="1" t="s">
        <v>40</v>
      </c>
      <c r="F15" s="3">
        <v>46204</v>
      </c>
      <c r="G15" s="4">
        <v>0</v>
      </c>
      <c r="H15" s="1" t="s">
        <v>21</v>
      </c>
      <c r="I15" s="1" t="s">
        <v>41</v>
      </c>
      <c r="J15" s="1" t="s">
        <v>23</v>
      </c>
      <c r="K15" s="2" t="s">
        <v>24</v>
      </c>
      <c r="L15" s="1" t="s">
        <v>25</v>
      </c>
      <c r="M15" s="2">
        <v>20000000</v>
      </c>
      <c r="N15" s="2" t="s">
        <v>26</v>
      </c>
      <c r="O15" s="2">
        <v>40844235.280000001</v>
      </c>
      <c r="P15" s="1" t="s">
        <v>27</v>
      </c>
    </row>
    <row r="16" spans="1:16" outlineLevel="2">
      <c r="A16" s="1" t="s">
        <v>28</v>
      </c>
      <c r="B16" s="1" t="s">
        <v>29</v>
      </c>
      <c r="C16" s="1" t="s">
        <v>30</v>
      </c>
      <c r="D16" s="2">
        <v>-3584867.72</v>
      </c>
      <c r="E16" s="1" t="s">
        <v>42</v>
      </c>
      <c r="F16" s="3">
        <v>46205</v>
      </c>
      <c r="G16" s="4">
        <v>0</v>
      </c>
      <c r="H16" s="1" t="s">
        <v>21</v>
      </c>
      <c r="I16" s="1" t="s">
        <v>43</v>
      </c>
      <c r="J16" s="1" t="s">
        <v>33</v>
      </c>
      <c r="K16" s="2" t="s">
        <v>24</v>
      </c>
      <c r="L16" s="1" t="s">
        <v>25</v>
      </c>
      <c r="M16" s="2" t="s">
        <v>26</v>
      </c>
      <c r="N16" s="2">
        <v>650000</v>
      </c>
      <c r="O16" s="2">
        <v>40194235.280000001</v>
      </c>
      <c r="P16" s="1" t="s">
        <v>27</v>
      </c>
    </row>
    <row r="17" spans="1:16" outlineLevel="2">
      <c r="A17" s="1" t="s">
        <v>28</v>
      </c>
      <c r="B17" s="1" t="s">
        <v>29</v>
      </c>
      <c r="C17" s="1" t="s">
        <v>30</v>
      </c>
      <c r="D17" s="2">
        <v>-3584867.72</v>
      </c>
      <c r="E17" s="1" t="s">
        <v>44</v>
      </c>
      <c r="F17" s="3">
        <v>46205</v>
      </c>
      <c r="G17" s="4">
        <v>0</v>
      </c>
      <c r="H17" s="1" t="s">
        <v>21</v>
      </c>
      <c r="I17" s="1" t="s">
        <v>43</v>
      </c>
      <c r="J17" s="1" t="s">
        <v>33</v>
      </c>
      <c r="K17" s="2" t="s">
        <v>24</v>
      </c>
      <c r="L17" s="1" t="s">
        <v>25</v>
      </c>
      <c r="M17" s="2" t="s">
        <v>26</v>
      </c>
      <c r="N17" s="2">
        <v>732620</v>
      </c>
      <c r="O17" s="2">
        <v>39461615.280000001</v>
      </c>
      <c r="P17" s="1" t="s">
        <v>27</v>
      </c>
    </row>
    <row r="18" spans="1:16" outlineLevel="2">
      <c r="A18" s="1" t="s">
        <v>28</v>
      </c>
      <c r="B18" s="1" t="s">
        <v>29</v>
      </c>
      <c r="C18" s="1" t="s">
        <v>30</v>
      </c>
      <c r="D18" s="2">
        <v>-3584867.72</v>
      </c>
      <c r="E18" s="1" t="s">
        <v>45</v>
      </c>
      <c r="F18" s="3">
        <v>46209</v>
      </c>
      <c r="G18" s="4">
        <v>0</v>
      </c>
      <c r="H18" s="1" t="s">
        <v>21</v>
      </c>
      <c r="I18" s="1" t="s">
        <v>46</v>
      </c>
      <c r="J18" s="1" t="s">
        <v>33</v>
      </c>
      <c r="K18" s="2" t="s">
        <v>24</v>
      </c>
      <c r="L18" s="1" t="s">
        <v>25</v>
      </c>
      <c r="M18" s="2" t="s">
        <v>26</v>
      </c>
      <c r="N18" s="2">
        <v>8470500</v>
      </c>
      <c r="O18" s="2">
        <v>30991115.280000001</v>
      </c>
      <c r="P18" s="1" t="s">
        <v>27</v>
      </c>
    </row>
    <row r="19" spans="1:16" outlineLevel="2">
      <c r="A19" s="1" t="s">
        <v>28</v>
      </c>
      <c r="B19" s="1" t="s">
        <v>29</v>
      </c>
      <c r="C19" s="1" t="s">
        <v>30</v>
      </c>
      <c r="D19" s="2">
        <v>-3584867.72</v>
      </c>
      <c r="E19" s="1" t="s">
        <v>47</v>
      </c>
      <c r="F19" s="3">
        <v>46209</v>
      </c>
      <c r="G19" s="4">
        <v>0</v>
      </c>
      <c r="H19" s="1" t="s">
        <v>21</v>
      </c>
      <c r="I19" s="1" t="s">
        <v>48</v>
      </c>
      <c r="J19" s="1" t="s">
        <v>23</v>
      </c>
      <c r="K19" s="2" t="s">
        <v>24</v>
      </c>
      <c r="L19" s="1" t="s">
        <v>25</v>
      </c>
      <c r="M19" s="2">
        <v>8533265</v>
      </c>
      <c r="N19" s="2" t="s">
        <v>26</v>
      </c>
      <c r="O19" s="2">
        <v>39524380.280000001</v>
      </c>
      <c r="P19" s="1" t="s">
        <v>27</v>
      </c>
    </row>
    <row r="20" spans="1:16" outlineLevel="2">
      <c r="A20" s="1" t="s">
        <v>28</v>
      </c>
      <c r="B20" s="1" t="s">
        <v>29</v>
      </c>
      <c r="C20" s="1" t="s">
        <v>30</v>
      </c>
      <c r="D20" s="2">
        <v>-3584867.72</v>
      </c>
      <c r="E20" s="1" t="s">
        <v>49</v>
      </c>
      <c r="F20" s="3">
        <v>46210</v>
      </c>
      <c r="G20" s="4">
        <v>0</v>
      </c>
      <c r="H20" s="1" t="s">
        <v>21</v>
      </c>
      <c r="I20" s="1" t="s">
        <v>50</v>
      </c>
      <c r="J20" s="1" t="s">
        <v>33</v>
      </c>
      <c r="K20" s="2" t="s">
        <v>24</v>
      </c>
      <c r="L20" s="1" t="s">
        <v>25</v>
      </c>
      <c r="M20" s="2" t="s">
        <v>26</v>
      </c>
      <c r="N20" s="2">
        <v>1623125</v>
      </c>
      <c r="O20" s="2">
        <v>37901255.280000001</v>
      </c>
      <c r="P20" s="1" t="s">
        <v>27</v>
      </c>
    </row>
    <row r="21" spans="1:16" outlineLevel="2">
      <c r="A21" s="1" t="s">
        <v>28</v>
      </c>
      <c r="B21" s="1" t="s">
        <v>29</v>
      </c>
      <c r="C21" s="1" t="s">
        <v>30</v>
      </c>
      <c r="D21" s="2">
        <v>-3584867.72</v>
      </c>
      <c r="E21" s="1" t="s">
        <v>51</v>
      </c>
      <c r="F21" s="3">
        <v>46210</v>
      </c>
      <c r="G21" s="4">
        <v>0</v>
      </c>
      <c r="H21" s="1" t="s">
        <v>21</v>
      </c>
      <c r="I21" s="1" t="s">
        <v>52</v>
      </c>
      <c r="J21" s="1" t="s">
        <v>33</v>
      </c>
      <c r="K21" s="2" t="s">
        <v>24</v>
      </c>
      <c r="L21" s="1" t="s">
        <v>25</v>
      </c>
      <c r="M21" s="2" t="s">
        <v>26</v>
      </c>
      <c r="N21" s="2">
        <v>4737500</v>
      </c>
      <c r="O21" s="2">
        <v>33163755.280000001</v>
      </c>
      <c r="P21" s="1" t="s">
        <v>27</v>
      </c>
    </row>
    <row r="22" spans="1:16" outlineLevel="2">
      <c r="A22" s="1" t="s">
        <v>28</v>
      </c>
      <c r="B22" s="1" t="s">
        <v>29</v>
      </c>
      <c r="C22" s="1" t="s">
        <v>30</v>
      </c>
      <c r="D22" s="2">
        <v>-3584867.72</v>
      </c>
      <c r="E22" s="1" t="s">
        <v>53</v>
      </c>
      <c r="F22" s="3">
        <v>46210</v>
      </c>
      <c r="G22" s="4">
        <v>0</v>
      </c>
      <c r="H22" s="1" t="s">
        <v>21</v>
      </c>
      <c r="I22" s="1" t="s">
        <v>54</v>
      </c>
      <c r="J22" s="1" t="s">
        <v>33</v>
      </c>
      <c r="K22" s="2" t="s">
        <v>24</v>
      </c>
      <c r="L22" s="1" t="s">
        <v>25</v>
      </c>
      <c r="M22" s="2" t="s">
        <v>26</v>
      </c>
      <c r="N22" s="2">
        <v>2142059</v>
      </c>
      <c r="O22" s="2">
        <v>31021696.280000001</v>
      </c>
      <c r="P22" s="1" t="s">
        <v>27</v>
      </c>
    </row>
    <row r="23" spans="1:16" outlineLevel="2">
      <c r="A23" s="1" t="s">
        <v>28</v>
      </c>
      <c r="B23" s="1" t="s">
        <v>29</v>
      </c>
      <c r="C23" s="1" t="s">
        <v>30</v>
      </c>
      <c r="D23" s="2">
        <v>-3584867.72</v>
      </c>
      <c r="E23" s="1" t="s">
        <v>55</v>
      </c>
      <c r="F23" s="3">
        <v>46213</v>
      </c>
      <c r="G23" s="4">
        <v>0</v>
      </c>
      <c r="H23" s="1" t="s">
        <v>21</v>
      </c>
      <c r="I23" s="1" t="s">
        <v>43</v>
      </c>
      <c r="J23" s="1" t="s">
        <v>33</v>
      </c>
      <c r="K23" s="2" t="s">
        <v>24</v>
      </c>
      <c r="L23" s="1" t="s">
        <v>25</v>
      </c>
      <c r="M23" s="2" t="s">
        <v>26</v>
      </c>
      <c r="N23" s="2">
        <v>400000</v>
      </c>
      <c r="O23" s="2">
        <v>30621696.280000001</v>
      </c>
      <c r="P23" s="1" t="s">
        <v>27</v>
      </c>
    </row>
    <row r="24" spans="1:16" outlineLevel="2">
      <c r="A24" s="1" t="s">
        <v>28</v>
      </c>
      <c r="B24" s="1" t="s">
        <v>29</v>
      </c>
      <c r="C24" s="1" t="s">
        <v>30</v>
      </c>
      <c r="D24" s="2">
        <v>-3584867.72</v>
      </c>
      <c r="E24" s="1" t="s">
        <v>56</v>
      </c>
      <c r="F24" s="3">
        <v>46213</v>
      </c>
      <c r="G24" s="4">
        <v>0</v>
      </c>
      <c r="H24" s="1" t="s">
        <v>21</v>
      </c>
      <c r="I24" s="1" t="s">
        <v>57</v>
      </c>
      <c r="J24" s="1" t="s">
        <v>33</v>
      </c>
      <c r="K24" s="2" t="s">
        <v>24</v>
      </c>
      <c r="L24" s="1" t="s">
        <v>25</v>
      </c>
      <c r="M24" s="2" t="s">
        <v>26</v>
      </c>
      <c r="N24" s="2">
        <v>875300</v>
      </c>
      <c r="O24" s="2">
        <v>29746396.280000001</v>
      </c>
      <c r="P24" s="1" t="s">
        <v>27</v>
      </c>
    </row>
    <row r="25" spans="1:16" outlineLevel="2">
      <c r="A25" s="1" t="s">
        <v>28</v>
      </c>
      <c r="B25" s="1" t="s">
        <v>29</v>
      </c>
      <c r="C25" s="1" t="s">
        <v>30</v>
      </c>
      <c r="D25" s="2">
        <v>-3584867.72</v>
      </c>
      <c r="E25" s="1" t="s">
        <v>58</v>
      </c>
      <c r="F25" s="3">
        <v>46213</v>
      </c>
      <c r="G25" s="4">
        <v>0</v>
      </c>
      <c r="H25" s="1" t="s">
        <v>21</v>
      </c>
      <c r="I25" s="1" t="s">
        <v>59</v>
      </c>
      <c r="J25" s="1" t="s">
        <v>33</v>
      </c>
      <c r="K25" s="2" t="s">
        <v>24</v>
      </c>
      <c r="L25" s="1" t="s">
        <v>25</v>
      </c>
      <c r="M25" s="2" t="s">
        <v>26</v>
      </c>
      <c r="N25" s="2">
        <v>1278000</v>
      </c>
      <c r="O25" s="2">
        <v>28468396.280000001</v>
      </c>
      <c r="P25" s="1" t="s">
        <v>27</v>
      </c>
    </row>
    <row r="26" spans="1:16" outlineLevel="2">
      <c r="A26" s="1" t="s">
        <v>28</v>
      </c>
      <c r="B26" s="1" t="s">
        <v>29</v>
      </c>
      <c r="C26" s="1" t="s">
        <v>30</v>
      </c>
      <c r="D26" s="2">
        <v>-3584867.72</v>
      </c>
      <c r="E26" s="1" t="s">
        <v>60</v>
      </c>
      <c r="F26" s="3">
        <v>46213</v>
      </c>
      <c r="G26" s="4">
        <v>0</v>
      </c>
      <c r="H26" s="1" t="s">
        <v>21</v>
      </c>
      <c r="I26" s="1" t="s">
        <v>61</v>
      </c>
      <c r="J26" s="1" t="s">
        <v>33</v>
      </c>
      <c r="K26" s="2" t="s">
        <v>24</v>
      </c>
      <c r="L26" s="1" t="s">
        <v>25</v>
      </c>
      <c r="M26" s="2" t="s">
        <v>26</v>
      </c>
      <c r="N26" s="2">
        <v>4118790</v>
      </c>
      <c r="O26" s="2">
        <v>24349606.280000001</v>
      </c>
      <c r="P26" s="1" t="s">
        <v>27</v>
      </c>
    </row>
    <row r="27" spans="1:16" outlineLevel="2">
      <c r="A27" s="1" t="s">
        <v>28</v>
      </c>
      <c r="B27" s="1" t="s">
        <v>29</v>
      </c>
      <c r="C27" s="1" t="s">
        <v>30</v>
      </c>
      <c r="D27" s="2">
        <v>-3584867.72</v>
      </c>
      <c r="E27" s="1" t="s">
        <v>62</v>
      </c>
      <c r="F27" s="3">
        <v>46217</v>
      </c>
      <c r="G27" s="4">
        <v>0</v>
      </c>
      <c r="H27" s="1" t="s">
        <v>21</v>
      </c>
      <c r="I27" s="1" t="s">
        <v>43</v>
      </c>
      <c r="J27" s="1" t="s">
        <v>33</v>
      </c>
      <c r="K27" s="2" t="s">
        <v>24</v>
      </c>
      <c r="L27" s="1" t="s">
        <v>25</v>
      </c>
      <c r="M27" s="2" t="s">
        <v>26</v>
      </c>
      <c r="N27" s="2">
        <v>679385</v>
      </c>
      <c r="O27" s="2">
        <v>23670221.280000001</v>
      </c>
      <c r="P27" s="1" t="s">
        <v>27</v>
      </c>
    </row>
    <row r="28" spans="1:16" outlineLevel="2">
      <c r="A28" s="1" t="s">
        <v>28</v>
      </c>
      <c r="B28" s="1" t="s">
        <v>29</v>
      </c>
      <c r="C28" s="1" t="s">
        <v>30</v>
      </c>
      <c r="D28" s="2">
        <v>-3584867.72</v>
      </c>
      <c r="E28" s="1" t="s">
        <v>63</v>
      </c>
      <c r="F28" s="3">
        <v>46217</v>
      </c>
      <c r="G28" s="4">
        <v>0</v>
      </c>
      <c r="H28" s="1" t="s">
        <v>21</v>
      </c>
      <c r="I28" s="1" t="s">
        <v>43</v>
      </c>
      <c r="J28" s="1" t="s">
        <v>33</v>
      </c>
      <c r="K28" s="2" t="s">
        <v>24</v>
      </c>
      <c r="L28" s="1" t="s">
        <v>25</v>
      </c>
      <c r="M28" s="2" t="s">
        <v>26</v>
      </c>
      <c r="N28" s="2">
        <v>883943</v>
      </c>
      <c r="O28" s="2">
        <v>22786278.280000001</v>
      </c>
      <c r="P28" s="1" t="s">
        <v>27</v>
      </c>
    </row>
    <row r="29" spans="1:16" outlineLevel="2">
      <c r="A29" s="1" t="s">
        <v>28</v>
      </c>
      <c r="B29" s="1" t="s">
        <v>29</v>
      </c>
      <c r="C29" s="1" t="s">
        <v>30</v>
      </c>
      <c r="D29" s="2">
        <v>-3584867.72</v>
      </c>
      <c r="E29" s="1" t="s">
        <v>64</v>
      </c>
      <c r="F29" s="3">
        <v>46217</v>
      </c>
      <c r="G29" s="4">
        <v>0</v>
      </c>
      <c r="H29" s="1" t="s">
        <v>21</v>
      </c>
      <c r="I29" s="1" t="s">
        <v>65</v>
      </c>
      <c r="J29" s="1" t="s">
        <v>33</v>
      </c>
      <c r="K29" s="2" t="s">
        <v>24</v>
      </c>
      <c r="L29" s="1" t="s">
        <v>25</v>
      </c>
      <c r="M29" s="2" t="s">
        <v>26</v>
      </c>
      <c r="N29" s="2">
        <v>105000</v>
      </c>
      <c r="O29" s="2">
        <v>22681278.280000001</v>
      </c>
      <c r="P29" s="1" t="s">
        <v>27</v>
      </c>
    </row>
    <row r="30" spans="1:16" outlineLevel="2">
      <c r="A30" s="1" t="s">
        <v>28</v>
      </c>
      <c r="B30" s="1" t="s">
        <v>29</v>
      </c>
      <c r="C30" s="1" t="s">
        <v>30</v>
      </c>
      <c r="D30" s="2">
        <v>-3584867.72</v>
      </c>
      <c r="E30" s="1" t="s">
        <v>66</v>
      </c>
      <c r="F30" s="3">
        <v>46217</v>
      </c>
      <c r="G30" s="4">
        <v>0</v>
      </c>
      <c r="H30" s="1" t="s">
        <v>21</v>
      </c>
      <c r="I30" s="1" t="s">
        <v>65</v>
      </c>
      <c r="J30" s="1" t="s">
        <v>33</v>
      </c>
      <c r="K30" s="2" t="s">
        <v>24</v>
      </c>
      <c r="L30" s="1" t="s">
        <v>25</v>
      </c>
      <c r="M30" s="2" t="s">
        <v>26</v>
      </c>
      <c r="N30" s="2">
        <v>298462.5</v>
      </c>
      <c r="O30" s="2">
        <v>22382815.780000001</v>
      </c>
      <c r="P30" s="1" t="s">
        <v>27</v>
      </c>
    </row>
    <row r="31" spans="1:16" outlineLevel="2">
      <c r="A31" s="1" t="s">
        <v>28</v>
      </c>
      <c r="B31" s="1" t="s">
        <v>29</v>
      </c>
      <c r="C31" s="1" t="s">
        <v>30</v>
      </c>
      <c r="D31" s="2">
        <v>-3584867.72</v>
      </c>
      <c r="E31" s="1" t="s">
        <v>67</v>
      </c>
      <c r="F31" s="3">
        <v>46219</v>
      </c>
      <c r="G31" s="4">
        <v>0</v>
      </c>
      <c r="H31" s="1" t="s">
        <v>21</v>
      </c>
      <c r="I31" s="1" t="s">
        <v>68</v>
      </c>
      <c r="J31" s="1" t="s">
        <v>33</v>
      </c>
      <c r="K31" s="2" t="s">
        <v>24</v>
      </c>
      <c r="L31" s="1" t="s">
        <v>25</v>
      </c>
      <c r="M31" s="2" t="s">
        <v>26</v>
      </c>
      <c r="N31" s="2">
        <v>228163</v>
      </c>
      <c r="O31" s="2">
        <v>22154652.780000001</v>
      </c>
      <c r="P31" s="1" t="s">
        <v>27</v>
      </c>
    </row>
    <row r="32" spans="1:16" outlineLevel="2">
      <c r="A32" s="1" t="s">
        <v>28</v>
      </c>
      <c r="B32" s="1" t="s">
        <v>29</v>
      </c>
      <c r="C32" s="1" t="s">
        <v>30</v>
      </c>
      <c r="D32" s="2">
        <v>-3584867.72</v>
      </c>
      <c r="E32" s="1" t="s">
        <v>69</v>
      </c>
      <c r="F32" s="3">
        <v>46220</v>
      </c>
      <c r="G32" s="4">
        <v>0</v>
      </c>
      <c r="H32" s="1" t="s">
        <v>21</v>
      </c>
      <c r="I32" s="1" t="s">
        <v>32</v>
      </c>
      <c r="J32" s="1" t="s">
        <v>23</v>
      </c>
      <c r="K32" s="2" t="s">
        <v>24</v>
      </c>
      <c r="L32" s="1" t="s">
        <v>25</v>
      </c>
      <c r="M32" s="2">
        <v>10000000</v>
      </c>
      <c r="N32" s="2" t="s">
        <v>26</v>
      </c>
      <c r="O32" s="2">
        <v>32154652.780000001</v>
      </c>
      <c r="P32" s="1" t="s">
        <v>27</v>
      </c>
    </row>
    <row r="33" spans="1:16" outlineLevel="2">
      <c r="A33" s="1" t="s">
        <v>28</v>
      </c>
      <c r="B33" s="1" t="s">
        <v>29</v>
      </c>
      <c r="C33" s="1" t="s">
        <v>30</v>
      </c>
      <c r="D33" s="2">
        <v>-3584867.72</v>
      </c>
      <c r="E33" s="1" t="s">
        <v>70</v>
      </c>
      <c r="F33" s="3">
        <v>46224</v>
      </c>
      <c r="G33" s="4">
        <v>0</v>
      </c>
      <c r="H33" s="1" t="s">
        <v>21</v>
      </c>
      <c r="I33" s="1" t="s">
        <v>71</v>
      </c>
      <c r="J33" s="1" t="s">
        <v>33</v>
      </c>
      <c r="K33" s="2" t="s">
        <v>24</v>
      </c>
      <c r="L33" s="1" t="s">
        <v>25</v>
      </c>
      <c r="M33" s="2" t="s">
        <v>26</v>
      </c>
      <c r="N33" s="2">
        <v>1623125</v>
      </c>
      <c r="O33" s="2">
        <v>30531527.780000001</v>
      </c>
      <c r="P33" s="1" t="s">
        <v>27</v>
      </c>
    </row>
    <row r="34" spans="1:16" outlineLevel="2">
      <c r="A34" s="1" t="s">
        <v>28</v>
      </c>
      <c r="B34" s="1" t="s">
        <v>29</v>
      </c>
      <c r="C34" s="1" t="s">
        <v>30</v>
      </c>
      <c r="D34" s="2">
        <v>-3584867.72</v>
      </c>
      <c r="E34" s="1" t="s">
        <v>72</v>
      </c>
      <c r="F34" s="3">
        <v>46224</v>
      </c>
      <c r="G34" s="4">
        <v>0</v>
      </c>
      <c r="H34" s="1" t="s">
        <v>21</v>
      </c>
      <c r="I34" s="1" t="s">
        <v>73</v>
      </c>
      <c r="J34" s="1" t="s">
        <v>33</v>
      </c>
      <c r="K34" s="2" t="s">
        <v>24</v>
      </c>
      <c r="L34" s="1" t="s">
        <v>25</v>
      </c>
      <c r="M34" s="2" t="s">
        <v>26</v>
      </c>
      <c r="N34" s="2">
        <v>1030335</v>
      </c>
      <c r="O34" s="2">
        <v>29501192.780000001</v>
      </c>
      <c r="P34" s="1" t="s">
        <v>27</v>
      </c>
    </row>
    <row r="35" spans="1:16" outlineLevel="2">
      <c r="A35" s="1" t="s">
        <v>28</v>
      </c>
      <c r="B35" s="1" t="s">
        <v>29</v>
      </c>
      <c r="C35" s="1" t="s">
        <v>30</v>
      </c>
      <c r="D35" s="2">
        <v>-3584867.72</v>
      </c>
      <c r="E35" s="1" t="s">
        <v>74</v>
      </c>
      <c r="F35" s="3">
        <v>46224</v>
      </c>
      <c r="G35" s="4">
        <v>0</v>
      </c>
      <c r="H35" s="1" t="s">
        <v>21</v>
      </c>
      <c r="I35" s="1" t="s">
        <v>50</v>
      </c>
      <c r="J35" s="1" t="s">
        <v>33</v>
      </c>
      <c r="K35" s="2" t="s">
        <v>24</v>
      </c>
      <c r="L35" s="1" t="s">
        <v>25</v>
      </c>
      <c r="M35" s="2" t="s">
        <v>26</v>
      </c>
      <c r="N35" s="2">
        <v>1623125</v>
      </c>
      <c r="O35" s="2">
        <v>27878067.780000001</v>
      </c>
      <c r="P35" s="1" t="s">
        <v>27</v>
      </c>
    </row>
    <row r="36" spans="1:16" outlineLevel="2">
      <c r="A36" s="1" t="s">
        <v>28</v>
      </c>
      <c r="B36" s="1" t="s">
        <v>29</v>
      </c>
      <c r="C36" s="1" t="s">
        <v>30</v>
      </c>
      <c r="D36" s="2">
        <v>-3584867.72</v>
      </c>
      <c r="E36" s="1" t="s">
        <v>75</v>
      </c>
      <c r="F36" s="3">
        <v>46224</v>
      </c>
      <c r="G36" s="4">
        <v>0</v>
      </c>
      <c r="H36" s="1" t="s">
        <v>21</v>
      </c>
      <c r="I36" s="1" t="s">
        <v>57</v>
      </c>
      <c r="J36" s="1" t="s">
        <v>33</v>
      </c>
      <c r="K36" s="2" t="s">
        <v>24</v>
      </c>
      <c r="L36" s="1" t="s">
        <v>25</v>
      </c>
      <c r="M36" s="2" t="s">
        <v>26</v>
      </c>
      <c r="N36" s="2">
        <v>927500</v>
      </c>
      <c r="O36" s="2">
        <v>26950567.780000001</v>
      </c>
      <c r="P36" s="1" t="s">
        <v>27</v>
      </c>
    </row>
    <row r="37" spans="1:16" outlineLevel="2">
      <c r="A37" s="1" t="s">
        <v>28</v>
      </c>
      <c r="B37" s="1" t="s">
        <v>29</v>
      </c>
      <c r="C37" s="1" t="s">
        <v>30</v>
      </c>
      <c r="D37" s="2">
        <v>-3584867.72</v>
      </c>
      <c r="E37" s="1" t="s">
        <v>76</v>
      </c>
      <c r="F37" s="3">
        <v>46225</v>
      </c>
      <c r="G37" s="4">
        <v>0</v>
      </c>
      <c r="H37" s="1" t="s">
        <v>21</v>
      </c>
      <c r="I37" s="1" t="s">
        <v>48</v>
      </c>
      <c r="J37" s="1" t="s">
        <v>23</v>
      </c>
      <c r="K37" s="2" t="s">
        <v>24</v>
      </c>
      <c r="L37" s="1" t="s">
        <v>25</v>
      </c>
      <c r="M37" s="2">
        <v>15552334</v>
      </c>
      <c r="N37" s="2" t="s">
        <v>26</v>
      </c>
      <c r="O37" s="2">
        <v>42502901.780000001</v>
      </c>
      <c r="P37" s="1" t="s">
        <v>27</v>
      </c>
    </row>
    <row r="38" spans="1:16" outlineLevel="2">
      <c r="A38" s="1" t="s">
        <v>28</v>
      </c>
      <c r="B38" s="1" t="s">
        <v>29</v>
      </c>
      <c r="C38" s="1" t="s">
        <v>30</v>
      </c>
      <c r="D38" s="2">
        <v>-3584867.72</v>
      </c>
      <c r="E38" s="1" t="s">
        <v>77</v>
      </c>
      <c r="F38" s="3">
        <v>46226</v>
      </c>
      <c r="G38" s="4">
        <v>0</v>
      </c>
      <c r="H38" s="1" t="s">
        <v>21</v>
      </c>
      <c r="I38" s="1" t="s">
        <v>78</v>
      </c>
      <c r="J38" s="1" t="s">
        <v>33</v>
      </c>
      <c r="K38" s="2" t="s">
        <v>24</v>
      </c>
      <c r="L38" s="1" t="s">
        <v>25</v>
      </c>
      <c r="M38" s="2" t="s">
        <v>26</v>
      </c>
      <c r="N38" s="2">
        <v>1740000</v>
      </c>
      <c r="O38" s="2">
        <v>40762901.780000001</v>
      </c>
      <c r="P38" s="1" t="s">
        <v>27</v>
      </c>
    </row>
    <row r="39" spans="1:16" outlineLevel="2">
      <c r="A39" s="1" t="s">
        <v>28</v>
      </c>
      <c r="B39" s="1" t="s">
        <v>29</v>
      </c>
      <c r="C39" s="1" t="s">
        <v>30</v>
      </c>
      <c r="D39" s="2">
        <v>-3584867.72</v>
      </c>
      <c r="E39" s="1" t="s">
        <v>79</v>
      </c>
      <c r="F39" s="3">
        <v>46227</v>
      </c>
      <c r="G39" s="4">
        <v>0</v>
      </c>
      <c r="H39" s="1" t="s">
        <v>21</v>
      </c>
      <c r="I39" s="1" t="s">
        <v>78</v>
      </c>
      <c r="J39" s="1" t="s">
        <v>33</v>
      </c>
      <c r="K39" s="2" t="s">
        <v>24</v>
      </c>
      <c r="L39" s="1" t="s">
        <v>25</v>
      </c>
      <c r="M39" s="2" t="s">
        <v>26</v>
      </c>
      <c r="N39" s="2">
        <v>7245000</v>
      </c>
      <c r="O39" s="2">
        <v>33517901.780000001</v>
      </c>
      <c r="P39" s="1" t="s">
        <v>27</v>
      </c>
    </row>
    <row r="40" spans="1:16" outlineLevel="2">
      <c r="A40" s="1" t="s">
        <v>28</v>
      </c>
      <c r="B40" s="1" t="s">
        <v>29</v>
      </c>
      <c r="C40" s="1" t="s">
        <v>30</v>
      </c>
      <c r="D40" s="2">
        <v>-3584867.72</v>
      </c>
      <c r="E40" s="1" t="s">
        <v>80</v>
      </c>
      <c r="F40" s="3">
        <v>46227</v>
      </c>
      <c r="G40" s="4">
        <v>0</v>
      </c>
      <c r="H40" s="1" t="s">
        <v>21</v>
      </c>
      <c r="I40" s="1" t="s">
        <v>81</v>
      </c>
      <c r="J40" s="1" t="s">
        <v>23</v>
      </c>
      <c r="K40" s="2" t="s">
        <v>24</v>
      </c>
      <c r="L40" s="1" t="s">
        <v>25</v>
      </c>
      <c r="M40" s="2">
        <v>11231615</v>
      </c>
      <c r="N40" s="2" t="s">
        <v>26</v>
      </c>
      <c r="O40" s="2">
        <v>44749516.780000001</v>
      </c>
      <c r="P40" s="1" t="s">
        <v>27</v>
      </c>
    </row>
    <row r="41" spans="1:16" outlineLevel="2">
      <c r="A41" s="1" t="s">
        <v>28</v>
      </c>
      <c r="B41" s="1" t="s">
        <v>29</v>
      </c>
      <c r="C41" s="1" t="s">
        <v>30</v>
      </c>
      <c r="D41" s="2">
        <v>-3584867.72</v>
      </c>
      <c r="E41" s="1" t="s">
        <v>82</v>
      </c>
      <c r="F41" s="3">
        <v>46227</v>
      </c>
      <c r="G41" s="4">
        <v>0</v>
      </c>
      <c r="H41" s="1" t="s">
        <v>21</v>
      </c>
      <c r="I41" s="1" t="s">
        <v>83</v>
      </c>
      <c r="J41" s="1" t="s">
        <v>23</v>
      </c>
      <c r="K41" s="2" t="s">
        <v>24</v>
      </c>
      <c r="L41" s="1" t="s">
        <v>25</v>
      </c>
      <c r="M41" s="2">
        <v>6900000</v>
      </c>
      <c r="N41" s="2" t="s">
        <v>26</v>
      </c>
      <c r="O41" s="2">
        <v>51649516.780000001</v>
      </c>
      <c r="P41" s="1" t="s">
        <v>27</v>
      </c>
    </row>
    <row r="42" spans="1:16" outlineLevel="2">
      <c r="A42" s="1" t="s">
        <v>28</v>
      </c>
      <c r="B42" s="1" t="s">
        <v>29</v>
      </c>
      <c r="C42" s="1" t="s">
        <v>30</v>
      </c>
      <c r="D42" s="2">
        <v>-3584867.72</v>
      </c>
      <c r="E42" s="1" t="s">
        <v>84</v>
      </c>
      <c r="F42" s="3">
        <v>46231</v>
      </c>
      <c r="G42" s="4">
        <v>0</v>
      </c>
      <c r="H42" s="1" t="s">
        <v>21</v>
      </c>
      <c r="I42" s="1" t="s">
        <v>43</v>
      </c>
      <c r="J42" s="1" t="s">
        <v>33</v>
      </c>
      <c r="K42" s="2" t="s">
        <v>24</v>
      </c>
      <c r="L42" s="1" t="s">
        <v>25</v>
      </c>
      <c r="M42" s="2" t="s">
        <v>26</v>
      </c>
      <c r="N42" s="2">
        <v>400001</v>
      </c>
      <c r="O42" s="2">
        <v>51249515.780000001</v>
      </c>
      <c r="P42" s="1" t="s">
        <v>27</v>
      </c>
    </row>
    <row r="43" spans="1:16" outlineLevel="2">
      <c r="A43" s="1" t="s">
        <v>28</v>
      </c>
      <c r="B43" s="1" t="s">
        <v>29</v>
      </c>
      <c r="C43" s="1" t="s">
        <v>30</v>
      </c>
      <c r="D43" s="2">
        <v>-3584867.72</v>
      </c>
      <c r="E43" s="1" t="s">
        <v>85</v>
      </c>
      <c r="F43" s="3">
        <v>46231</v>
      </c>
      <c r="G43" s="4">
        <v>0</v>
      </c>
      <c r="H43" s="1" t="s">
        <v>21</v>
      </c>
      <c r="I43" s="1" t="s">
        <v>86</v>
      </c>
      <c r="J43" s="1" t="s">
        <v>33</v>
      </c>
      <c r="K43" s="2" t="s">
        <v>24</v>
      </c>
      <c r="L43" s="1" t="s">
        <v>25</v>
      </c>
      <c r="M43" s="2" t="s">
        <v>26</v>
      </c>
      <c r="N43" s="2">
        <v>300000</v>
      </c>
      <c r="O43" s="2">
        <v>50949515.780000001</v>
      </c>
      <c r="P43" s="1" t="s">
        <v>27</v>
      </c>
    </row>
    <row r="44" spans="1:16" outlineLevel="2">
      <c r="A44" s="1" t="s">
        <v>28</v>
      </c>
      <c r="B44" s="1" t="s">
        <v>29</v>
      </c>
      <c r="C44" s="1" t="s">
        <v>30</v>
      </c>
      <c r="D44" s="2">
        <v>-3584867.72</v>
      </c>
      <c r="E44" s="1" t="s">
        <v>87</v>
      </c>
      <c r="F44" s="3">
        <v>46231</v>
      </c>
      <c r="G44" s="4">
        <v>0</v>
      </c>
      <c r="H44" s="1" t="s">
        <v>21</v>
      </c>
      <c r="I44" s="1" t="s">
        <v>71</v>
      </c>
      <c r="J44" s="1" t="s">
        <v>33</v>
      </c>
      <c r="K44" s="2" t="s">
        <v>24</v>
      </c>
      <c r="L44" s="1" t="s">
        <v>25</v>
      </c>
      <c r="M44" s="2" t="s">
        <v>26</v>
      </c>
      <c r="N44" s="2">
        <v>1623125</v>
      </c>
      <c r="O44" s="2">
        <v>49326390.780000001</v>
      </c>
      <c r="P44" s="1" t="s">
        <v>27</v>
      </c>
    </row>
    <row r="45" spans="1:16" outlineLevel="2">
      <c r="A45" s="1" t="s">
        <v>28</v>
      </c>
      <c r="B45" s="1" t="s">
        <v>29</v>
      </c>
      <c r="C45" s="1" t="s">
        <v>30</v>
      </c>
      <c r="D45" s="2">
        <v>-3584867.72</v>
      </c>
      <c r="E45" s="1" t="s">
        <v>88</v>
      </c>
      <c r="F45" s="3">
        <v>46233</v>
      </c>
      <c r="G45" s="4">
        <v>0</v>
      </c>
      <c r="H45" s="1" t="s">
        <v>21</v>
      </c>
      <c r="I45" s="1" t="s">
        <v>89</v>
      </c>
      <c r="J45" s="1" t="s">
        <v>33</v>
      </c>
      <c r="K45" s="2" t="s">
        <v>24</v>
      </c>
      <c r="L45" s="1" t="s">
        <v>25</v>
      </c>
      <c r="M45" s="2" t="s">
        <v>26</v>
      </c>
      <c r="N45" s="2">
        <v>1601250</v>
      </c>
      <c r="O45" s="2">
        <v>47725140.780000001</v>
      </c>
      <c r="P45" s="1" t="s">
        <v>27</v>
      </c>
    </row>
    <row r="46" spans="1:16" outlineLevel="2">
      <c r="A46" s="1" t="s">
        <v>28</v>
      </c>
      <c r="B46" s="1" t="s">
        <v>29</v>
      </c>
      <c r="C46" s="1" t="s">
        <v>30</v>
      </c>
      <c r="D46" s="2">
        <v>-3584867.72</v>
      </c>
      <c r="E46" s="1" t="s">
        <v>90</v>
      </c>
      <c r="F46" s="3">
        <v>46233</v>
      </c>
      <c r="G46" s="4">
        <v>0</v>
      </c>
      <c r="H46" s="1" t="s">
        <v>21</v>
      </c>
      <c r="I46" s="1" t="s">
        <v>89</v>
      </c>
      <c r="J46" s="1" t="s">
        <v>33</v>
      </c>
      <c r="K46" s="2" t="s">
        <v>24</v>
      </c>
      <c r="L46" s="1" t="s">
        <v>25</v>
      </c>
      <c r="M46" s="2" t="s">
        <v>26</v>
      </c>
      <c r="N46" s="2">
        <v>533750</v>
      </c>
      <c r="O46" s="2">
        <v>47191390.780000001</v>
      </c>
      <c r="P46" s="1" t="s">
        <v>27</v>
      </c>
    </row>
    <row r="47" spans="1:16" outlineLevel="2">
      <c r="A47" s="1" t="s">
        <v>28</v>
      </c>
      <c r="B47" s="1" t="s">
        <v>29</v>
      </c>
      <c r="C47" s="1" t="s">
        <v>30</v>
      </c>
      <c r="D47" s="2">
        <v>-3584867.72</v>
      </c>
      <c r="E47" s="1" t="s">
        <v>91</v>
      </c>
      <c r="F47" s="3">
        <v>46233</v>
      </c>
      <c r="G47" s="4">
        <v>0</v>
      </c>
      <c r="H47" s="1" t="s">
        <v>21</v>
      </c>
      <c r="I47" s="1" t="s">
        <v>32</v>
      </c>
      <c r="J47" s="1" t="s">
        <v>33</v>
      </c>
      <c r="K47" s="2" t="s">
        <v>24</v>
      </c>
      <c r="L47" s="1" t="s">
        <v>25</v>
      </c>
      <c r="M47" s="2" t="s">
        <v>26</v>
      </c>
      <c r="N47" s="2">
        <v>24205280</v>
      </c>
      <c r="O47" s="2">
        <v>22986110.780000001</v>
      </c>
      <c r="P47" s="1" t="s">
        <v>27</v>
      </c>
    </row>
    <row r="48" spans="1:16" outlineLevel="1">
      <c r="A48" s="13" t="s">
        <v>1350</v>
      </c>
      <c r="M48" s="2">
        <f>SUBTOTAL(9,M10:M47)</f>
        <v>121579872</v>
      </c>
      <c r="N48" s="2">
        <f>SUBTOTAL(9,N10:N47)</f>
        <v>95008893.5</v>
      </c>
    </row>
    <row r="49" spans="1:16" outlineLevel="2">
      <c r="A49" s="1" t="s">
        <v>92</v>
      </c>
      <c r="B49" s="1" t="s">
        <v>93</v>
      </c>
      <c r="C49" s="1" t="s">
        <v>94</v>
      </c>
      <c r="D49" s="2">
        <v>0</v>
      </c>
      <c r="E49" s="1" t="s">
        <v>95</v>
      </c>
      <c r="F49" s="3">
        <v>46204</v>
      </c>
      <c r="G49" s="4">
        <v>0</v>
      </c>
      <c r="H49" s="1" t="s">
        <v>21</v>
      </c>
      <c r="I49" s="1" t="s">
        <v>94</v>
      </c>
      <c r="J49" s="1" t="s">
        <v>23</v>
      </c>
      <c r="K49" s="2" t="s">
        <v>24</v>
      </c>
      <c r="L49" s="1" t="s">
        <v>25</v>
      </c>
      <c r="M49" s="2" t="s">
        <v>26</v>
      </c>
      <c r="N49" s="2">
        <v>1</v>
      </c>
      <c r="O49" s="2">
        <v>-1</v>
      </c>
      <c r="P49" s="1" t="s">
        <v>27</v>
      </c>
    </row>
    <row r="50" spans="1:16" outlineLevel="2">
      <c r="A50" s="1" t="s">
        <v>92</v>
      </c>
      <c r="B50" s="1" t="s">
        <v>93</v>
      </c>
      <c r="C50" s="1" t="s">
        <v>94</v>
      </c>
      <c r="D50" s="2">
        <v>0</v>
      </c>
      <c r="E50" s="1" t="s">
        <v>96</v>
      </c>
      <c r="F50" s="3">
        <v>46204</v>
      </c>
      <c r="G50" s="4">
        <v>0</v>
      </c>
      <c r="H50" s="1" t="s">
        <v>21</v>
      </c>
      <c r="I50" s="1" t="s">
        <v>36</v>
      </c>
      <c r="J50" s="1" t="s">
        <v>23</v>
      </c>
      <c r="K50" s="2" t="s">
        <v>24</v>
      </c>
      <c r="L50" s="1" t="s">
        <v>25</v>
      </c>
      <c r="M50" s="2">
        <v>1</v>
      </c>
      <c r="N50" s="2" t="s">
        <v>26</v>
      </c>
      <c r="O50" s="2">
        <v>0</v>
      </c>
      <c r="P50" s="1" t="s">
        <v>27</v>
      </c>
    </row>
    <row r="51" spans="1:16" outlineLevel="2">
      <c r="A51" s="1" t="s">
        <v>92</v>
      </c>
      <c r="B51" s="1" t="s">
        <v>93</v>
      </c>
      <c r="C51" s="1" t="s">
        <v>94</v>
      </c>
      <c r="D51" s="2">
        <v>0</v>
      </c>
      <c r="E51" s="1" t="s">
        <v>97</v>
      </c>
      <c r="F51" s="3">
        <v>46227</v>
      </c>
      <c r="G51" s="4">
        <v>0</v>
      </c>
      <c r="H51" s="1" t="s">
        <v>21</v>
      </c>
      <c r="I51" s="1" t="s">
        <v>94</v>
      </c>
      <c r="J51" s="1" t="s">
        <v>23</v>
      </c>
      <c r="K51" s="2" t="s">
        <v>24</v>
      </c>
      <c r="L51" s="1" t="s">
        <v>25</v>
      </c>
      <c r="M51" s="2" t="s">
        <v>26</v>
      </c>
      <c r="N51" s="2">
        <v>1</v>
      </c>
      <c r="O51" s="2">
        <v>-1</v>
      </c>
      <c r="P51" s="1" t="s">
        <v>27</v>
      </c>
    </row>
    <row r="52" spans="1:16" outlineLevel="2">
      <c r="A52" s="1" t="s">
        <v>92</v>
      </c>
      <c r="B52" s="1" t="s">
        <v>93</v>
      </c>
      <c r="C52" s="1" t="s">
        <v>94</v>
      </c>
      <c r="D52" s="2">
        <v>0</v>
      </c>
      <c r="E52" s="1" t="s">
        <v>98</v>
      </c>
      <c r="F52" s="3">
        <v>46227</v>
      </c>
      <c r="G52" s="4">
        <v>0</v>
      </c>
      <c r="H52" s="1" t="s">
        <v>21</v>
      </c>
      <c r="I52" s="1" t="s">
        <v>41</v>
      </c>
      <c r="J52" s="1" t="s">
        <v>23</v>
      </c>
      <c r="K52" s="2" t="s">
        <v>24</v>
      </c>
      <c r="L52" s="1" t="s">
        <v>25</v>
      </c>
      <c r="M52" s="2">
        <v>1</v>
      </c>
      <c r="N52" s="2" t="s">
        <v>26</v>
      </c>
      <c r="O52" s="2">
        <v>0</v>
      </c>
      <c r="P52" s="1" t="s">
        <v>27</v>
      </c>
    </row>
    <row r="53" spans="1:16" outlineLevel="2">
      <c r="A53" s="1" t="s">
        <v>92</v>
      </c>
      <c r="B53" s="1" t="s">
        <v>93</v>
      </c>
      <c r="C53" s="1" t="s">
        <v>94</v>
      </c>
      <c r="D53" s="2">
        <v>0</v>
      </c>
      <c r="E53" s="1" t="s">
        <v>99</v>
      </c>
      <c r="F53" s="3">
        <v>46227</v>
      </c>
      <c r="G53" s="4">
        <v>0</v>
      </c>
      <c r="H53" s="1" t="s">
        <v>21</v>
      </c>
      <c r="I53" s="1" t="s">
        <v>94</v>
      </c>
      <c r="J53" s="1" t="s">
        <v>23</v>
      </c>
      <c r="K53" s="2" t="s">
        <v>24</v>
      </c>
      <c r="L53" s="1" t="s">
        <v>25</v>
      </c>
      <c r="M53" s="2" t="s">
        <v>26</v>
      </c>
      <c r="N53" s="2">
        <v>1</v>
      </c>
      <c r="O53" s="2">
        <v>-1</v>
      </c>
      <c r="P53" s="1" t="s">
        <v>27</v>
      </c>
    </row>
    <row r="54" spans="1:16" outlineLevel="2">
      <c r="A54" s="1" t="s">
        <v>92</v>
      </c>
      <c r="B54" s="1" t="s">
        <v>93</v>
      </c>
      <c r="C54" s="1" t="s">
        <v>94</v>
      </c>
      <c r="D54" s="2">
        <v>0</v>
      </c>
      <c r="E54" s="1" t="s">
        <v>100</v>
      </c>
      <c r="F54" s="3">
        <v>46227</v>
      </c>
      <c r="G54" s="4">
        <v>0</v>
      </c>
      <c r="H54" s="1" t="s">
        <v>21</v>
      </c>
      <c r="I54" s="1" t="s">
        <v>101</v>
      </c>
      <c r="J54" s="1" t="s">
        <v>23</v>
      </c>
      <c r="K54" s="2" t="s">
        <v>24</v>
      </c>
      <c r="L54" s="1" t="s">
        <v>25</v>
      </c>
      <c r="M54" s="2">
        <v>1</v>
      </c>
      <c r="N54" s="2" t="s">
        <v>26</v>
      </c>
      <c r="O54" s="2">
        <v>0</v>
      </c>
      <c r="P54" s="1" t="s">
        <v>27</v>
      </c>
    </row>
    <row r="55" spans="1:16" outlineLevel="1">
      <c r="A55" s="13" t="s">
        <v>1351</v>
      </c>
      <c r="M55" s="2">
        <f>SUBTOTAL(9,M49:M54)</f>
        <v>3</v>
      </c>
      <c r="N55" s="2">
        <f>SUBTOTAL(9,N49:N54)</f>
        <v>3</v>
      </c>
    </row>
    <row r="56" spans="1:16" outlineLevel="2">
      <c r="A56" s="1" t="s">
        <v>102</v>
      </c>
      <c r="B56" s="1" t="s">
        <v>103</v>
      </c>
      <c r="C56" s="1" t="s">
        <v>104</v>
      </c>
      <c r="D56" s="2">
        <v>50000000</v>
      </c>
      <c r="E56" s="1" t="s">
        <v>18</v>
      </c>
      <c r="F56" s="3" t="s">
        <v>19</v>
      </c>
      <c r="G56" s="4" t="s">
        <v>20</v>
      </c>
      <c r="H56" s="1" t="s">
        <v>21</v>
      </c>
      <c r="I56" s="1" t="s">
        <v>22</v>
      </c>
      <c r="J56" s="1" t="s">
        <v>23</v>
      </c>
      <c r="K56" s="2" t="s">
        <v>24</v>
      </c>
      <c r="L56" s="1" t="s">
        <v>25</v>
      </c>
      <c r="M56" s="2" t="s">
        <v>26</v>
      </c>
      <c r="N56" s="2" t="s">
        <v>26</v>
      </c>
      <c r="O56" s="2">
        <v>50000000</v>
      </c>
      <c r="P56" s="1" t="s">
        <v>27</v>
      </c>
    </row>
    <row r="57" spans="1:16" outlineLevel="1">
      <c r="A57" s="13" t="s">
        <v>1352</v>
      </c>
      <c r="M57" s="2">
        <f>SUBTOTAL(9,M56:M56)</f>
        <v>0</v>
      </c>
      <c r="N57" s="2">
        <f>SUBTOTAL(9,N56:N56)</f>
        <v>0</v>
      </c>
    </row>
    <row r="58" spans="1:16" outlineLevel="2">
      <c r="A58" s="1" t="s">
        <v>105</v>
      </c>
      <c r="B58" s="1" t="s">
        <v>106</v>
      </c>
      <c r="C58" s="1" t="s">
        <v>107</v>
      </c>
      <c r="D58" s="2">
        <v>291714890</v>
      </c>
      <c r="E58" s="1" t="s">
        <v>18</v>
      </c>
      <c r="F58" s="3" t="s">
        <v>19</v>
      </c>
      <c r="G58" s="4" t="s">
        <v>20</v>
      </c>
      <c r="H58" s="1" t="s">
        <v>21</v>
      </c>
      <c r="I58" s="1" t="s">
        <v>22</v>
      </c>
      <c r="J58" s="1" t="s">
        <v>23</v>
      </c>
      <c r="K58" s="2" t="s">
        <v>24</v>
      </c>
      <c r="L58" s="1" t="s">
        <v>25</v>
      </c>
      <c r="M58" s="2" t="s">
        <v>26</v>
      </c>
      <c r="N58" s="2" t="s">
        <v>26</v>
      </c>
      <c r="O58" s="2">
        <v>291714890</v>
      </c>
      <c r="P58" s="1" t="s">
        <v>27</v>
      </c>
    </row>
    <row r="59" spans="1:16" outlineLevel="1">
      <c r="A59" s="13" t="s">
        <v>1353</v>
      </c>
      <c r="M59" s="2">
        <f>SUBTOTAL(9,M58:M58)</f>
        <v>0</v>
      </c>
      <c r="N59" s="2">
        <f>SUBTOTAL(9,N58:N58)</f>
        <v>0</v>
      </c>
    </row>
    <row r="60" spans="1:16" outlineLevel="2">
      <c r="A60" s="1" t="s">
        <v>108</v>
      </c>
      <c r="B60" s="1" t="s">
        <v>109</v>
      </c>
      <c r="C60" s="1" t="s">
        <v>110</v>
      </c>
      <c r="D60" s="2">
        <v>712406.65</v>
      </c>
      <c r="E60" s="1" t="s">
        <v>18</v>
      </c>
      <c r="F60" s="3" t="s">
        <v>19</v>
      </c>
      <c r="G60" s="4" t="s">
        <v>20</v>
      </c>
      <c r="H60" s="1" t="s">
        <v>21</v>
      </c>
      <c r="I60" s="1" t="s">
        <v>22</v>
      </c>
      <c r="J60" s="1" t="s">
        <v>23</v>
      </c>
      <c r="K60" s="2" t="s">
        <v>24</v>
      </c>
      <c r="L60" s="1" t="s">
        <v>25</v>
      </c>
      <c r="M60" s="2" t="s">
        <v>26</v>
      </c>
      <c r="N60" s="2" t="s">
        <v>26</v>
      </c>
      <c r="O60" s="2">
        <v>712406.65</v>
      </c>
      <c r="P60" s="1" t="s">
        <v>27</v>
      </c>
    </row>
    <row r="61" spans="1:16" outlineLevel="1">
      <c r="A61" s="13" t="s">
        <v>1354</v>
      </c>
      <c r="M61" s="2">
        <f>SUBTOTAL(9,M60:M60)</f>
        <v>0</v>
      </c>
      <c r="N61" s="2">
        <f>SUBTOTAL(9,N60:N60)</f>
        <v>0</v>
      </c>
    </row>
    <row r="62" spans="1:16" outlineLevel="2">
      <c r="A62" s="1" t="s">
        <v>111</v>
      </c>
      <c r="B62" s="1" t="s">
        <v>112</v>
      </c>
      <c r="C62" s="1" t="s">
        <v>113</v>
      </c>
      <c r="D62" s="2">
        <v>2968311126.3299999</v>
      </c>
      <c r="E62" s="1" t="s">
        <v>114</v>
      </c>
      <c r="F62" s="3">
        <v>46204</v>
      </c>
      <c r="G62" s="4">
        <v>800148462</v>
      </c>
      <c r="H62" s="1" t="s">
        <v>115</v>
      </c>
      <c r="I62" s="1" t="s">
        <v>116</v>
      </c>
      <c r="J62" s="1" t="s">
        <v>117</v>
      </c>
      <c r="K62" s="2" t="s">
        <v>24</v>
      </c>
      <c r="L62" s="1" t="s">
        <v>25</v>
      </c>
      <c r="M62" s="2" t="s">
        <v>26</v>
      </c>
      <c r="N62" s="2">
        <v>7718157.5899999999</v>
      </c>
      <c r="O62" s="2">
        <v>2960592968.7399998</v>
      </c>
      <c r="P62" s="1" t="s">
        <v>27</v>
      </c>
    </row>
    <row r="63" spans="1:16" outlineLevel="2">
      <c r="A63" s="1" t="s">
        <v>111</v>
      </c>
      <c r="B63" s="1" t="s">
        <v>112</v>
      </c>
      <c r="C63" s="1" t="s">
        <v>113</v>
      </c>
      <c r="D63" s="2">
        <v>2968311126.3299999</v>
      </c>
      <c r="E63" s="1" t="s">
        <v>118</v>
      </c>
      <c r="F63" s="3">
        <v>46204</v>
      </c>
      <c r="G63" s="4">
        <v>800148462</v>
      </c>
      <c r="H63" s="1" t="s">
        <v>115</v>
      </c>
      <c r="I63" s="1" t="s">
        <v>119</v>
      </c>
      <c r="J63" s="1" t="s">
        <v>120</v>
      </c>
      <c r="K63" s="2" t="s">
        <v>24</v>
      </c>
      <c r="L63" s="1" t="s">
        <v>25</v>
      </c>
      <c r="M63" s="2" t="s">
        <v>26</v>
      </c>
      <c r="N63" s="2">
        <v>11644500</v>
      </c>
      <c r="O63" s="2">
        <v>2948948468.7399998</v>
      </c>
      <c r="P63" s="1" t="s">
        <v>27</v>
      </c>
    </row>
    <row r="64" spans="1:16" outlineLevel="2">
      <c r="A64" s="1" t="s">
        <v>111</v>
      </c>
      <c r="B64" s="1" t="s">
        <v>112</v>
      </c>
      <c r="C64" s="1" t="s">
        <v>113</v>
      </c>
      <c r="D64" s="2">
        <v>2968311126.3299999</v>
      </c>
      <c r="E64" s="1" t="s">
        <v>121</v>
      </c>
      <c r="F64" s="3">
        <v>46204</v>
      </c>
      <c r="G64" s="4">
        <v>800148462</v>
      </c>
      <c r="H64" s="1" t="s">
        <v>115</v>
      </c>
      <c r="I64" s="1" t="s">
        <v>122</v>
      </c>
      <c r="J64" s="1" t="s">
        <v>117</v>
      </c>
      <c r="K64" s="2" t="s">
        <v>24</v>
      </c>
      <c r="L64" s="1" t="s">
        <v>25</v>
      </c>
      <c r="M64" s="2">
        <v>7718157.5899999999</v>
      </c>
      <c r="N64" s="2" t="s">
        <v>26</v>
      </c>
      <c r="O64" s="2">
        <v>2956666626.3299999</v>
      </c>
      <c r="P64" s="1" t="s">
        <v>27</v>
      </c>
    </row>
    <row r="65" spans="1:16" outlineLevel="2">
      <c r="A65" s="1" t="s">
        <v>111</v>
      </c>
      <c r="B65" s="1" t="s">
        <v>112</v>
      </c>
      <c r="C65" s="1" t="s">
        <v>113</v>
      </c>
      <c r="D65" s="2">
        <v>2968311126.3299999</v>
      </c>
      <c r="E65" s="1" t="s">
        <v>123</v>
      </c>
      <c r="F65" s="3">
        <v>46209</v>
      </c>
      <c r="G65" s="4">
        <v>830060331</v>
      </c>
      <c r="H65" s="1" t="s">
        <v>124</v>
      </c>
      <c r="I65" s="1" t="s">
        <v>125</v>
      </c>
      <c r="J65" s="1" t="s">
        <v>126</v>
      </c>
      <c r="K65" s="2" t="s">
        <v>24</v>
      </c>
      <c r="L65" s="1" t="s">
        <v>25</v>
      </c>
      <c r="M65" s="2" t="s">
        <v>26</v>
      </c>
      <c r="N65" s="2">
        <v>8629446.8000000007</v>
      </c>
      <c r="O65" s="2">
        <v>2948037179.5300002</v>
      </c>
      <c r="P65" s="1" t="s">
        <v>27</v>
      </c>
    </row>
    <row r="66" spans="1:16" outlineLevel="2">
      <c r="A66" s="1" t="s">
        <v>111</v>
      </c>
      <c r="B66" s="1" t="s">
        <v>112</v>
      </c>
      <c r="C66" s="1" t="s">
        <v>113</v>
      </c>
      <c r="D66" s="2">
        <v>2968311126.3299999</v>
      </c>
      <c r="E66" s="1" t="s">
        <v>127</v>
      </c>
      <c r="F66" s="3">
        <v>46213</v>
      </c>
      <c r="G66" s="4">
        <v>890211777</v>
      </c>
      <c r="H66" s="1" t="s">
        <v>128</v>
      </c>
      <c r="I66" s="1" t="s">
        <v>81</v>
      </c>
      <c r="J66" s="1" t="s">
        <v>129</v>
      </c>
      <c r="K66" s="2" t="s">
        <v>24</v>
      </c>
      <c r="L66" s="1" t="s">
        <v>25</v>
      </c>
      <c r="M66" s="2">
        <v>729093.88</v>
      </c>
      <c r="N66" s="2" t="s">
        <v>26</v>
      </c>
      <c r="O66" s="2">
        <v>2948766273.4099998</v>
      </c>
      <c r="P66" s="1" t="s">
        <v>130</v>
      </c>
    </row>
    <row r="67" spans="1:16" outlineLevel="2">
      <c r="A67" s="1" t="s">
        <v>111</v>
      </c>
      <c r="B67" s="1" t="s">
        <v>112</v>
      </c>
      <c r="C67" s="1" t="s">
        <v>113</v>
      </c>
      <c r="D67" s="2">
        <v>2968311126.3299999</v>
      </c>
      <c r="E67" s="1" t="s">
        <v>131</v>
      </c>
      <c r="F67" s="3">
        <v>46213</v>
      </c>
      <c r="G67" s="4">
        <v>890106697</v>
      </c>
      <c r="H67" s="1" t="s">
        <v>132</v>
      </c>
      <c r="I67" s="1" t="s">
        <v>41</v>
      </c>
      <c r="J67" s="1" t="s">
        <v>133</v>
      </c>
      <c r="K67" s="2" t="s">
        <v>24</v>
      </c>
      <c r="L67" s="1" t="s">
        <v>25</v>
      </c>
      <c r="M67" s="2">
        <v>2825497.67</v>
      </c>
      <c r="N67" s="2" t="s">
        <v>26</v>
      </c>
      <c r="O67" s="2">
        <v>2951591771.0799999</v>
      </c>
      <c r="P67" s="1" t="s">
        <v>134</v>
      </c>
    </row>
    <row r="68" spans="1:16" outlineLevel="2">
      <c r="A68" s="1" t="s">
        <v>111</v>
      </c>
      <c r="B68" s="1" t="s">
        <v>112</v>
      </c>
      <c r="C68" s="1" t="s">
        <v>113</v>
      </c>
      <c r="D68" s="2">
        <v>2968311126.3299999</v>
      </c>
      <c r="E68" s="1" t="s">
        <v>135</v>
      </c>
      <c r="F68" s="3">
        <v>46213</v>
      </c>
      <c r="G68" s="4">
        <v>890106697</v>
      </c>
      <c r="H68" s="1" t="s">
        <v>132</v>
      </c>
      <c r="I68" s="1" t="s">
        <v>41</v>
      </c>
      <c r="J68" s="1" t="s">
        <v>136</v>
      </c>
      <c r="K68" s="2" t="s">
        <v>24</v>
      </c>
      <c r="L68" s="1" t="s">
        <v>25</v>
      </c>
      <c r="M68" s="2">
        <v>2825497.67</v>
      </c>
      <c r="N68" s="2" t="s">
        <v>26</v>
      </c>
      <c r="O68" s="2">
        <v>2954417268.75</v>
      </c>
      <c r="P68" s="1" t="s">
        <v>137</v>
      </c>
    </row>
    <row r="69" spans="1:16" outlineLevel="2">
      <c r="A69" s="1" t="s">
        <v>111</v>
      </c>
      <c r="B69" s="1" t="s">
        <v>112</v>
      </c>
      <c r="C69" s="1" t="s">
        <v>113</v>
      </c>
      <c r="D69" s="2">
        <v>2968311126.3299999</v>
      </c>
      <c r="E69" s="1" t="s">
        <v>138</v>
      </c>
      <c r="F69" s="3">
        <v>46220</v>
      </c>
      <c r="G69" s="4">
        <v>830060331</v>
      </c>
      <c r="H69" s="1" t="s">
        <v>124</v>
      </c>
      <c r="I69" s="1" t="s">
        <v>48</v>
      </c>
      <c r="J69" s="1" t="s">
        <v>139</v>
      </c>
      <c r="K69" s="2" t="s">
        <v>24</v>
      </c>
      <c r="L69" s="1" t="s">
        <v>25</v>
      </c>
      <c r="M69" s="2">
        <v>2212170.98</v>
      </c>
      <c r="N69" s="2" t="s">
        <v>26</v>
      </c>
      <c r="O69" s="2">
        <v>2956629439.73</v>
      </c>
      <c r="P69" s="1" t="s">
        <v>140</v>
      </c>
    </row>
    <row r="70" spans="1:16" outlineLevel="2">
      <c r="A70" s="1" t="s">
        <v>111</v>
      </c>
      <c r="B70" s="1" t="s">
        <v>112</v>
      </c>
      <c r="C70" s="1" t="s">
        <v>113</v>
      </c>
      <c r="D70" s="2">
        <v>2968311126.3299999</v>
      </c>
      <c r="E70" s="1" t="s">
        <v>141</v>
      </c>
      <c r="F70" s="3">
        <v>46220</v>
      </c>
      <c r="G70" s="4">
        <v>830060331</v>
      </c>
      <c r="H70" s="1" t="s">
        <v>124</v>
      </c>
      <c r="I70" s="1" t="s">
        <v>48</v>
      </c>
      <c r="J70" s="1" t="s">
        <v>142</v>
      </c>
      <c r="K70" s="2" t="s">
        <v>24</v>
      </c>
      <c r="L70" s="1" t="s">
        <v>25</v>
      </c>
      <c r="M70" s="2">
        <v>5242544.18</v>
      </c>
      <c r="N70" s="2" t="s">
        <v>26</v>
      </c>
      <c r="O70" s="2">
        <v>2961871983.9099998</v>
      </c>
      <c r="P70" s="1" t="s">
        <v>143</v>
      </c>
    </row>
    <row r="71" spans="1:16" outlineLevel="2">
      <c r="A71" s="1" t="s">
        <v>111</v>
      </c>
      <c r="B71" s="1" t="s">
        <v>112</v>
      </c>
      <c r="C71" s="1" t="s">
        <v>113</v>
      </c>
      <c r="D71" s="2">
        <v>2968311126.3299999</v>
      </c>
      <c r="E71" s="1" t="s">
        <v>144</v>
      </c>
      <c r="F71" s="3">
        <v>46220</v>
      </c>
      <c r="G71" s="4">
        <v>800148462</v>
      </c>
      <c r="H71" s="1" t="s">
        <v>115</v>
      </c>
      <c r="I71" s="1" t="s">
        <v>36</v>
      </c>
      <c r="J71" s="1" t="s">
        <v>145</v>
      </c>
      <c r="K71" s="2" t="s">
        <v>24</v>
      </c>
      <c r="L71" s="1" t="s">
        <v>25</v>
      </c>
      <c r="M71" s="2">
        <v>7763000</v>
      </c>
      <c r="N71" s="2" t="s">
        <v>26</v>
      </c>
      <c r="O71" s="2">
        <v>2969634983.9099998</v>
      </c>
      <c r="P71" s="1" t="s">
        <v>146</v>
      </c>
    </row>
    <row r="72" spans="1:16" outlineLevel="2">
      <c r="A72" s="1" t="s">
        <v>111</v>
      </c>
      <c r="B72" s="1" t="s">
        <v>112</v>
      </c>
      <c r="C72" s="1" t="s">
        <v>113</v>
      </c>
      <c r="D72" s="2">
        <v>2968311126.3299999</v>
      </c>
      <c r="E72" s="1" t="s">
        <v>147</v>
      </c>
      <c r="F72" s="3">
        <v>46224</v>
      </c>
      <c r="G72" s="4">
        <v>901067419</v>
      </c>
      <c r="H72" s="1" t="s">
        <v>148</v>
      </c>
      <c r="I72" s="1" t="s">
        <v>83</v>
      </c>
      <c r="J72" s="1" t="s">
        <v>149</v>
      </c>
      <c r="K72" s="2" t="s">
        <v>24</v>
      </c>
      <c r="L72" s="1" t="s">
        <v>25</v>
      </c>
      <c r="M72" s="2">
        <v>6930000</v>
      </c>
      <c r="N72" s="2" t="s">
        <v>26</v>
      </c>
      <c r="O72" s="2">
        <v>2976564983.9099998</v>
      </c>
      <c r="P72" s="1" t="s">
        <v>150</v>
      </c>
    </row>
    <row r="73" spans="1:16" outlineLevel="2">
      <c r="A73" s="1" t="s">
        <v>111</v>
      </c>
      <c r="B73" s="1" t="s">
        <v>112</v>
      </c>
      <c r="C73" s="1" t="s">
        <v>113</v>
      </c>
      <c r="D73" s="2">
        <v>2968311126.3299999</v>
      </c>
      <c r="E73" s="1" t="s">
        <v>151</v>
      </c>
      <c r="F73" s="3">
        <v>46224</v>
      </c>
      <c r="G73" s="4">
        <v>901069576</v>
      </c>
      <c r="H73" s="1" t="s">
        <v>152</v>
      </c>
      <c r="I73" s="1" t="s">
        <v>153</v>
      </c>
      <c r="J73" s="1" t="s">
        <v>154</v>
      </c>
      <c r="K73" s="2" t="s">
        <v>24</v>
      </c>
      <c r="L73" s="1" t="s">
        <v>25</v>
      </c>
      <c r="M73" s="2">
        <v>3450000</v>
      </c>
      <c r="N73" s="2" t="s">
        <v>26</v>
      </c>
      <c r="O73" s="2">
        <v>2980014983.9099998</v>
      </c>
      <c r="P73" s="1" t="s">
        <v>155</v>
      </c>
    </row>
    <row r="74" spans="1:16" outlineLevel="2">
      <c r="A74" s="1" t="s">
        <v>111</v>
      </c>
      <c r="B74" s="1" t="s">
        <v>112</v>
      </c>
      <c r="C74" s="1" t="s">
        <v>113</v>
      </c>
      <c r="D74" s="2">
        <v>2968311126.3299999</v>
      </c>
      <c r="E74" s="1" t="s">
        <v>156</v>
      </c>
      <c r="F74" s="3">
        <v>46225</v>
      </c>
      <c r="G74" s="4">
        <v>830060331</v>
      </c>
      <c r="H74" s="1" t="s">
        <v>124</v>
      </c>
      <c r="I74" s="1" t="s">
        <v>157</v>
      </c>
      <c r="J74" s="1" t="s">
        <v>158</v>
      </c>
      <c r="K74" s="2" t="s">
        <v>24</v>
      </c>
      <c r="L74" s="1" t="s">
        <v>25</v>
      </c>
      <c r="M74" s="2" t="s">
        <v>26</v>
      </c>
      <c r="N74" s="2">
        <v>5242544.18</v>
      </c>
      <c r="O74" s="2">
        <v>2974772439.73</v>
      </c>
      <c r="P74" s="1" t="s">
        <v>27</v>
      </c>
    </row>
    <row r="75" spans="1:16" outlineLevel="2">
      <c r="A75" s="1" t="s">
        <v>111</v>
      </c>
      <c r="B75" s="1" t="s">
        <v>112</v>
      </c>
      <c r="C75" s="1" t="s">
        <v>113</v>
      </c>
      <c r="D75" s="2">
        <v>2968311126.3299999</v>
      </c>
      <c r="E75" s="1" t="s">
        <v>159</v>
      </c>
      <c r="F75" s="3">
        <v>46225</v>
      </c>
      <c r="G75" s="4">
        <v>830060331</v>
      </c>
      <c r="H75" s="1" t="s">
        <v>124</v>
      </c>
      <c r="I75" s="1" t="s">
        <v>160</v>
      </c>
      <c r="J75" s="1" t="s">
        <v>161</v>
      </c>
      <c r="K75" s="2" t="s">
        <v>24</v>
      </c>
      <c r="L75" s="1" t="s">
        <v>25</v>
      </c>
      <c r="M75" s="2" t="s">
        <v>26</v>
      </c>
      <c r="N75" s="2">
        <v>10485087.43</v>
      </c>
      <c r="O75" s="2">
        <v>2964287352.3000002</v>
      </c>
      <c r="P75" s="1" t="s">
        <v>27</v>
      </c>
    </row>
    <row r="76" spans="1:16" outlineLevel="2">
      <c r="A76" s="1" t="s">
        <v>111</v>
      </c>
      <c r="B76" s="1" t="s">
        <v>112</v>
      </c>
      <c r="C76" s="1" t="s">
        <v>113</v>
      </c>
      <c r="D76" s="2">
        <v>2968311126.3299999</v>
      </c>
      <c r="E76" s="1" t="s">
        <v>162</v>
      </c>
      <c r="F76" s="3">
        <v>46227</v>
      </c>
      <c r="G76" s="4">
        <v>901226733</v>
      </c>
      <c r="H76" s="1" t="s">
        <v>163</v>
      </c>
      <c r="I76" s="1" t="s">
        <v>101</v>
      </c>
      <c r="J76" s="1" t="s">
        <v>164</v>
      </c>
      <c r="K76" s="2" t="s">
        <v>24</v>
      </c>
      <c r="L76" s="1" t="s">
        <v>25</v>
      </c>
      <c r="M76" s="2">
        <v>10330546.6</v>
      </c>
      <c r="N76" s="2" t="s">
        <v>26</v>
      </c>
      <c r="O76" s="2">
        <v>2974617898.9000001</v>
      </c>
      <c r="P76" s="1" t="s">
        <v>165</v>
      </c>
    </row>
    <row r="77" spans="1:16" outlineLevel="2">
      <c r="A77" s="1" t="s">
        <v>111</v>
      </c>
      <c r="B77" s="1" t="s">
        <v>112</v>
      </c>
      <c r="C77" s="1" t="s">
        <v>113</v>
      </c>
      <c r="D77" s="2">
        <v>2968311126.3299999</v>
      </c>
      <c r="E77" s="1" t="s">
        <v>166</v>
      </c>
      <c r="F77" s="3">
        <v>46227</v>
      </c>
      <c r="G77" s="4">
        <v>830060331</v>
      </c>
      <c r="H77" s="1" t="s">
        <v>124</v>
      </c>
      <c r="I77" s="1" t="s">
        <v>48</v>
      </c>
      <c r="J77" s="1" t="s">
        <v>167</v>
      </c>
      <c r="K77" s="2" t="s">
        <v>24</v>
      </c>
      <c r="L77" s="1" t="s">
        <v>25</v>
      </c>
      <c r="M77" s="2">
        <v>5242544.18</v>
      </c>
      <c r="N77" s="2" t="s">
        <v>26</v>
      </c>
      <c r="O77" s="2">
        <v>2979860443.0799999</v>
      </c>
      <c r="P77" s="1" t="s">
        <v>168</v>
      </c>
    </row>
    <row r="78" spans="1:16" outlineLevel="2">
      <c r="A78" s="1" t="s">
        <v>111</v>
      </c>
      <c r="B78" s="1" t="s">
        <v>112</v>
      </c>
      <c r="C78" s="1" t="s">
        <v>113</v>
      </c>
      <c r="D78" s="2">
        <v>2968311126.3299999</v>
      </c>
      <c r="E78" s="1" t="s">
        <v>169</v>
      </c>
      <c r="F78" s="3">
        <v>46227</v>
      </c>
      <c r="G78" s="4">
        <v>890106697</v>
      </c>
      <c r="H78" s="1" t="s">
        <v>132</v>
      </c>
      <c r="I78" s="1" t="s">
        <v>41</v>
      </c>
      <c r="J78" s="1" t="s">
        <v>170</v>
      </c>
      <c r="K78" s="2" t="s">
        <v>24</v>
      </c>
      <c r="L78" s="1" t="s">
        <v>25</v>
      </c>
      <c r="M78" s="2">
        <v>988570.54</v>
      </c>
      <c r="N78" s="2" t="s">
        <v>26</v>
      </c>
      <c r="O78" s="2">
        <v>2980849013.6199999</v>
      </c>
      <c r="P78" s="1" t="s">
        <v>171</v>
      </c>
    </row>
    <row r="79" spans="1:16" outlineLevel="2">
      <c r="A79" s="1" t="s">
        <v>111</v>
      </c>
      <c r="B79" s="1" t="s">
        <v>112</v>
      </c>
      <c r="C79" s="1" t="s">
        <v>113</v>
      </c>
      <c r="D79" s="2">
        <v>2968311126.3299999</v>
      </c>
      <c r="E79" s="1" t="s">
        <v>172</v>
      </c>
      <c r="F79" s="3">
        <v>46227</v>
      </c>
      <c r="G79" s="4">
        <v>890211777</v>
      </c>
      <c r="H79" s="1" t="s">
        <v>128</v>
      </c>
      <c r="I79" s="1" t="s">
        <v>173</v>
      </c>
      <c r="J79" s="1" t="s">
        <v>174</v>
      </c>
      <c r="K79" s="2" t="s">
        <v>24</v>
      </c>
      <c r="L79" s="1" t="s">
        <v>25</v>
      </c>
      <c r="M79" s="2" t="s">
        <v>26</v>
      </c>
      <c r="N79" s="2">
        <v>4069781.07</v>
      </c>
      <c r="O79" s="2">
        <v>2976779232.5500002</v>
      </c>
      <c r="P79" s="1" t="s">
        <v>27</v>
      </c>
    </row>
    <row r="80" spans="1:16" outlineLevel="2">
      <c r="A80" s="1" t="s">
        <v>111</v>
      </c>
      <c r="B80" s="1" t="s">
        <v>112</v>
      </c>
      <c r="C80" s="1" t="s">
        <v>113</v>
      </c>
      <c r="D80" s="2">
        <v>2968311126.3299999</v>
      </c>
      <c r="E80" s="1" t="s">
        <v>175</v>
      </c>
      <c r="F80" s="3">
        <v>46227</v>
      </c>
      <c r="G80" s="4">
        <v>890211777</v>
      </c>
      <c r="H80" s="1" t="s">
        <v>128</v>
      </c>
      <c r="I80" s="1" t="s">
        <v>176</v>
      </c>
      <c r="J80" s="1" t="s">
        <v>177</v>
      </c>
      <c r="K80" s="2" t="s">
        <v>24</v>
      </c>
      <c r="L80" s="1" t="s">
        <v>25</v>
      </c>
      <c r="M80" s="2" t="s">
        <v>26</v>
      </c>
      <c r="N80" s="2">
        <v>7288429.9900000002</v>
      </c>
      <c r="O80" s="2">
        <v>2969490802.5599999</v>
      </c>
      <c r="P80" s="1" t="s">
        <v>27</v>
      </c>
    </row>
    <row r="81" spans="1:16" outlineLevel="2">
      <c r="A81" s="1" t="s">
        <v>111</v>
      </c>
      <c r="B81" s="1" t="s">
        <v>112</v>
      </c>
      <c r="C81" s="1" t="s">
        <v>113</v>
      </c>
      <c r="D81" s="2">
        <v>2968311126.3299999</v>
      </c>
      <c r="E81" s="1" t="s">
        <v>178</v>
      </c>
      <c r="F81" s="3">
        <v>46227</v>
      </c>
      <c r="G81" s="4">
        <v>901067419</v>
      </c>
      <c r="H81" s="1" t="s">
        <v>148</v>
      </c>
      <c r="I81" s="1" t="s">
        <v>179</v>
      </c>
      <c r="J81" s="1" t="s">
        <v>158</v>
      </c>
      <c r="K81" s="2" t="s">
        <v>24</v>
      </c>
      <c r="L81" s="1" t="s">
        <v>25</v>
      </c>
      <c r="M81" s="2" t="s">
        <v>26</v>
      </c>
      <c r="N81" s="2">
        <v>6900000</v>
      </c>
      <c r="O81" s="2">
        <v>2962590802.5599999</v>
      </c>
      <c r="P81" s="1" t="s">
        <v>27</v>
      </c>
    </row>
    <row r="82" spans="1:16" outlineLevel="2">
      <c r="A82" s="1" t="s">
        <v>111</v>
      </c>
      <c r="B82" s="1" t="s">
        <v>112</v>
      </c>
      <c r="C82" s="1" t="s">
        <v>113</v>
      </c>
      <c r="D82" s="2">
        <v>2968311126.3299999</v>
      </c>
      <c r="E82" s="1" t="s">
        <v>180</v>
      </c>
      <c r="F82" s="3">
        <v>46227</v>
      </c>
      <c r="G82" s="4">
        <v>890106697</v>
      </c>
      <c r="H82" s="1" t="s">
        <v>132</v>
      </c>
      <c r="I82" s="1" t="s">
        <v>181</v>
      </c>
      <c r="J82" s="1" t="s">
        <v>133</v>
      </c>
      <c r="K82" s="2" t="s">
        <v>24</v>
      </c>
      <c r="L82" s="1" t="s">
        <v>25</v>
      </c>
      <c r="M82" s="2" t="s">
        <v>26</v>
      </c>
      <c r="N82" s="2">
        <v>2825497.67</v>
      </c>
      <c r="O82" s="2">
        <v>2959765304.8899999</v>
      </c>
      <c r="P82" s="1" t="s">
        <v>27</v>
      </c>
    </row>
    <row r="83" spans="1:16" outlineLevel="2">
      <c r="A83" s="1" t="s">
        <v>111</v>
      </c>
      <c r="B83" s="1" t="s">
        <v>112</v>
      </c>
      <c r="C83" s="1" t="s">
        <v>113</v>
      </c>
      <c r="D83" s="2">
        <v>2968311126.3299999</v>
      </c>
      <c r="E83" s="1" t="s">
        <v>182</v>
      </c>
      <c r="F83" s="3">
        <v>46227</v>
      </c>
      <c r="G83" s="4">
        <v>890106697</v>
      </c>
      <c r="H83" s="1" t="s">
        <v>132</v>
      </c>
      <c r="I83" s="1" t="s">
        <v>183</v>
      </c>
      <c r="J83" s="1" t="s">
        <v>136</v>
      </c>
      <c r="K83" s="2" t="s">
        <v>24</v>
      </c>
      <c r="L83" s="1" t="s">
        <v>25</v>
      </c>
      <c r="M83" s="2" t="s">
        <v>26</v>
      </c>
      <c r="N83" s="2">
        <v>2825497.67</v>
      </c>
      <c r="O83" s="2">
        <v>2956939807.2199998</v>
      </c>
      <c r="P83" s="1" t="s">
        <v>27</v>
      </c>
    </row>
    <row r="84" spans="1:16" outlineLevel="2">
      <c r="A84" s="1" t="s">
        <v>111</v>
      </c>
      <c r="B84" s="1" t="s">
        <v>112</v>
      </c>
      <c r="C84" s="1" t="s">
        <v>113</v>
      </c>
      <c r="D84" s="2">
        <v>2968311126.3299999</v>
      </c>
      <c r="E84" s="1" t="s">
        <v>184</v>
      </c>
      <c r="F84" s="3">
        <v>46227</v>
      </c>
      <c r="G84" s="4">
        <v>890106697</v>
      </c>
      <c r="H84" s="1" t="s">
        <v>132</v>
      </c>
      <c r="I84" s="1" t="s">
        <v>185</v>
      </c>
      <c r="J84" s="1" t="s">
        <v>170</v>
      </c>
      <c r="K84" s="2" t="s">
        <v>24</v>
      </c>
      <c r="L84" s="1" t="s">
        <v>25</v>
      </c>
      <c r="M84" s="2" t="s">
        <v>26</v>
      </c>
      <c r="N84" s="2">
        <v>988570.54</v>
      </c>
      <c r="O84" s="2">
        <v>2955951236.6799998</v>
      </c>
      <c r="P84" s="1" t="s">
        <v>27</v>
      </c>
    </row>
    <row r="85" spans="1:16" outlineLevel="2">
      <c r="A85" s="1" t="s">
        <v>111</v>
      </c>
      <c r="B85" s="1" t="s">
        <v>112</v>
      </c>
      <c r="C85" s="1" t="s">
        <v>113</v>
      </c>
      <c r="D85" s="2">
        <v>2968311126.3299999</v>
      </c>
      <c r="E85" s="1" t="s">
        <v>186</v>
      </c>
      <c r="F85" s="3">
        <v>46227</v>
      </c>
      <c r="G85" s="4">
        <v>901226733</v>
      </c>
      <c r="H85" s="1" t="s">
        <v>163</v>
      </c>
      <c r="I85" s="1" t="s">
        <v>187</v>
      </c>
      <c r="J85" s="1" t="s">
        <v>164</v>
      </c>
      <c r="K85" s="2" t="s">
        <v>24</v>
      </c>
      <c r="L85" s="1" t="s">
        <v>25</v>
      </c>
      <c r="M85" s="2" t="s">
        <v>26</v>
      </c>
      <c r="N85" s="2">
        <v>10330546.6</v>
      </c>
      <c r="O85" s="2">
        <v>2945620690.0799999</v>
      </c>
      <c r="P85" s="1" t="s">
        <v>27</v>
      </c>
    </row>
    <row r="86" spans="1:16" outlineLevel="2">
      <c r="A86" s="1" t="s">
        <v>111</v>
      </c>
      <c r="B86" s="1" t="s">
        <v>112</v>
      </c>
      <c r="C86" s="1" t="s">
        <v>113</v>
      </c>
      <c r="D86" s="2">
        <v>2968311126.3299999</v>
      </c>
      <c r="E86" s="1" t="s">
        <v>188</v>
      </c>
      <c r="F86" s="3">
        <v>46230</v>
      </c>
      <c r="G86" s="4">
        <v>900268901</v>
      </c>
      <c r="H86" s="1" t="s">
        <v>189</v>
      </c>
      <c r="I86" s="1" t="s">
        <v>190</v>
      </c>
      <c r="J86" s="1" t="s">
        <v>191</v>
      </c>
      <c r="K86" s="2" t="s">
        <v>24</v>
      </c>
      <c r="L86" s="1" t="s">
        <v>25</v>
      </c>
      <c r="M86" s="2">
        <v>14063586.289999999</v>
      </c>
      <c r="N86" s="2" t="s">
        <v>26</v>
      </c>
      <c r="O86" s="2">
        <v>2959684276.3699999</v>
      </c>
      <c r="P86" s="1" t="s">
        <v>192</v>
      </c>
    </row>
    <row r="87" spans="1:16" outlineLevel="1">
      <c r="A87" s="13" t="s">
        <v>1355</v>
      </c>
      <c r="M87" s="2">
        <f>SUBTOTAL(9,M62:M86)</f>
        <v>70321209.579999998</v>
      </c>
      <c r="N87" s="2">
        <f>SUBTOTAL(9,N62:N86)</f>
        <v>78948059.540000007</v>
      </c>
    </row>
    <row r="88" spans="1:16" outlineLevel="2">
      <c r="A88" s="1" t="s">
        <v>193</v>
      </c>
      <c r="B88" s="1" t="s">
        <v>194</v>
      </c>
      <c r="C88" s="1" t="s">
        <v>195</v>
      </c>
      <c r="D88" s="2">
        <v>800000</v>
      </c>
      <c r="E88" s="1" t="s">
        <v>18</v>
      </c>
      <c r="F88" s="3" t="s">
        <v>19</v>
      </c>
      <c r="G88" s="4" t="s">
        <v>20</v>
      </c>
      <c r="H88" s="1" t="s">
        <v>21</v>
      </c>
      <c r="I88" s="1" t="s">
        <v>22</v>
      </c>
      <c r="J88" s="1" t="s">
        <v>23</v>
      </c>
      <c r="K88" s="2" t="s">
        <v>24</v>
      </c>
      <c r="L88" s="1" t="s">
        <v>25</v>
      </c>
      <c r="M88" s="2" t="s">
        <v>26</v>
      </c>
      <c r="N88" s="2" t="s">
        <v>26</v>
      </c>
      <c r="O88" s="2">
        <v>800000</v>
      </c>
      <c r="P88" s="1" t="s">
        <v>27</v>
      </c>
    </row>
    <row r="89" spans="1:16" outlineLevel="1">
      <c r="A89" s="13" t="s">
        <v>1356</v>
      </c>
      <c r="M89" s="2">
        <f>SUBTOTAL(9,M88:M88)</f>
        <v>0</v>
      </c>
      <c r="N89" s="2">
        <f>SUBTOTAL(9,N88:N88)</f>
        <v>0</v>
      </c>
    </row>
    <row r="90" spans="1:16" outlineLevel="2">
      <c r="A90" s="1" t="s">
        <v>196</v>
      </c>
      <c r="B90" s="1" t="s">
        <v>197</v>
      </c>
      <c r="C90" s="1" t="s">
        <v>198</v>
      </c>
      <c r="D90" s="2">
        <v>73623634.319999993</v>
      </c>
      <c r="E90" s="1" t="s">
        <v>199</v>
      </c>
      <c r="F90" s="3">
        <v>46205</v>
      </c>
      <c r="G90" s="4">
        <v>802013446</v>
      </c>
      <c r="H90" s="1" t="s">
        <v>200</v>
      </c>
      <c r="I90" s="1" t="s">
        <v>201</v>
      </c>
      <c r="J90" s="1" t="s">
        <v>202</v>
      </c>
      <c r="K90" s="2" t="s">
        <v>24</v>
      </c>
      <c r="L90" s="1" t="s">
        <v>25</v>
      </c>
      <c r="M90" s="2" t="s">
        <v>26</v>
      </c>
      <c r="N90" s="2">
        <v>3402656</v>
      </c>
      <c r="O90" s="2">
        <v>70220978.319999993</v>
      </c>
      <c r="P90" s="1" t="s">
        <v>27</v>
      </c>
    </row>
    <row r="91" spans="1:16" outlineLevel="2">
      <c r="A91" s="1" t="s">
        <v>196</v>
      </c>
      <c r="B91" s="1" t="s">
        <v>197</v>
      </c>
      <c r="C91" s="1" t="s">
        <v>198</v>
      </c>
      <c r="D91" s="2">
        <v>73623634.319999993</v>
      </c>
      <c r="E91" s="1" t="s">
        <v>203</v>
      </c>
      <c r="F91" s="3">
        <v>46212</v>
      </c>
      <c r="G91" s="4">
        <v>72257318</v>
      </c>
      <c r="H91" s="1" t="s">
        <v>204</v>
      </c>
      <c r="I91" s="1" t="s">
        <v>205</v>
      </c>
      <c r="J91" s="1" t="s">
        <v>206</v>
      </c>
      <c r="K91" s="2" t="s">
        <v>24</v>
      </c>
      <c r="L91" s="1" t="s">
        <v>25</v>
      </c>
      <c r="M91" s="2">
        <v>400000</v>
      </c>
      <c r="N91" s="2" t="s">
        <v>26</v>
      </c>
      <c r="O91" s="2">
        <v>70620978.319999993</v>
      </c>
      <c r="P91" s="1" t="s">
        <v>27</v>
      </c>
    </row>
    <row r="92" spans="1:16" outlineLevel="2">
      <c r="A92" s="1" t="s">
        <v>196</v>
      </c>
      <c r="B92" s="1" t="s">
        <v>197</v>
      </c>
      <c r="C92" s="1" t="s">
        <v>198</v>
      </c>
      <c r="D92" s="2">
        <v>73623634.319999993</v>
      </c>
      <c r="E92" s="1" t="s">
        <v>207</v>
      </c>
      <c r="F92" s="3">
        <v>46213</v>
      </c>
      <c r="G92" s="4">
        <v>72311773</v>
      </c>
      <c r="H92" s="1" t="s">
        <v>208</v>
      </c>
      <c r="I92" s="1" t="s">
        <v>209</v>
      </c>
      <c r="J92" s="1" t="s">
        <v>210</v>
      </c>
      <c r="K92" s="2" t="s">
        <v>24</v>
      </c>
      <c r="L92" s="1" t="s">
        <v>25</v>
      </c>
      <c r="M92" s="2" t="s">
        <v>26</v>
      </c>
      <c r="N92" s="2">
        <v>52200</v>
      </c>
      <c r="O92" s="2">
        <v>70568778.319999993</v>
      </c>
      <c r="P92" s="1" t="s">
        <v>27</v>
      </c>
    </row>
    <row r="93" spans="1:16" outlineLevel="2">
      <c r="A93" s="1" t="s">
        <v>196</v>
      </c>
      <c r="B93" s="1" t="s">
        <v>197</v>
      </c>
      <c r="C93" s="1" t="s">
        <v>198</v>
      </c>
      <c r="D93" s="2">
        <v>73623634.319999993</v>
      </c>
      <c r="E93" s="1" t="s">
        <v>211</v>
      </c>
      <c r="F93" s="3">
        <v>46224</v>
      </c>
      <c r="G93" s="4">
        <v>16708751</v>
      </c>
      <c r="H93" s="1" t="s">
        <v>212</v>
      </c>
      <c r="I93" s="1" t="s">
        <v>213</v>
      </c>
      <c r="J93" s="1" t="s">
        <v>214</v>
      </c>
      <c r="K93" s="2" t="s">
        <v>24</v>
      </c>
      <c r="L93" s="1" t="s">
        <v>25</v>
      </c>
      <c r="M93" s="2">
        <v>1030335</v>
      </c>
      <c r="N93" s="2" t="s">
        <v>26</v>
      </c>
      <c r="O93" s="2">
        <v>71599113.319999993</v>
      </c>
      <c r="P93" s="1" t="s">
        <v>27</v>
      </c>
    </row>
    <row r="94" spans="1:16" outlineLevel="2">
      <c r="A94" s="1" t="s">
        <v>196</v>
      </c>
      <c r="B94" s="1" t="s">
        <v>197</v>
      </c>
      <c r="C94" s="1" t="s">
        <v>198</v>
      </c>
      <c r="D94" s="2">
        <v>73623634.319999993</v>
      </c>
      <c r="E94" s="1" t="s">
        <v>215</v>
      </c>
      <c r="F94" s="3">
        <v>46224</v>
      </c>
      <c r="G94" s="4">
        <v>72311773</v>
      </c>
      <c r="H94" s="1" t="s">
        <v>208</v>
      </c>
      <c r="I94" s="1" t="s">
        <v>216</v>
      </c>
      <c r="J94" s="1" t="s">
        <v>217</v>
      </c>
      <c r="K94" s="2" t="s">
        <v>24</v>
      </c>
      <c r="L94" s="1" t="s">
        <v>25</v>
      </c>
      <c r="M94" s="2">
        <v>927500</v>
      </c>
      <c r="N94" s="2" t="s">
        <v>26</v>
      </c>
      <c r="O94" s="2">
        <v>72526613.319999993</v>
      </c>
      <c r="P94" s="1" t="s">
        <v>27</v>
      </c>
    </row>
    <row r="95" spans="1:16" outlineLevel="2">
      <c r="A95" s="1" t="s">
        <v>196</v>
      </c>
      <c r="B95" s="1" t="s">
        <v>197</v>
      </c>
      <c r="C95" s="1" t="s">
        <v>198</v>
      </c>
      <c r="D95" s="2">
        <v>73623634.319999993</v>
      </c>
      <c r="E95" s="1" t="s">
        <v>218</v>
      </c>
      <c r="F95" s="3">
        <v>46226</v>
      </c>
      <c r="G95" s="4">
        <v>16708751</v>
      </c>
      <c r="H95" s="1" t="s">
        <v>212</v>
      </c>
      <c r="I95" s="1" t="s">
        <v>219</v>
      </c>
      <c r="J95" s="1" t="s">
        <v>214</v>
      </c>
      <c r="K95" s="2" t="s">
        <v>24</v>
      </c>
      <c r="L95" s="1" t="s">
        <v>25</v>
      </c>
      <c r="M95" s="2" t="s">
        <v>26</v>
      </c>
      <c r="N95" s="2">
        <v>1030335</v>
      </c>
      <c r="O95" s="2">
        <v>71496278.319999993</v>
      </c>
      <c r="P95" s="1" t="s">
        <v>27</v>
      </c>
    </row>
    <row r="96" spans="1:16" outlineLevel="1">
      <c r="A96" s="13" t="s">
        <v>1357</v>
      </c>
      <c r="M96" s="2">
        <f>SUBTOTAL(9,M90:M95)</f>
        <v>2357835</v>
      </c>
      <c r="N96" s="2">
        <f>SUBTOTAL(9,N90:N95)</f>
        <v>4485191</v>
      </c>
    </row>
    <row r="97" spans="1:16" outlineLevel="2">
      <c r="A97" s="1" t="s">
        <v>220</v>
      </c>
      <c r="B97" s="1" t="s">
        <v>221</v>
      </c>
      <c r="C97" s="1" t="s">
        <v>222</v>
      </c>
      <c r="D97" s="2">
        <v>10701492.66</v>
      </c>
      <c r="E97" s="1" t="s">
        <v>18</v>
      </c>
      <c r="F97" s="3" t="s">
        <v>19</v>
      </c>
      <c r="G97" s="4" t="s">
        <v>20</v>
      </c>
      <c r="H97" s="1" t="s">
        <v>21</v>
      </c>
      <c r="I97" s="1" t="s">
        <v>22</v>
      </c>
      <c r="J97" s="1" t="s">
        <v>23</v>
      </c>
      <c r="K97" s="2" t="s">
        <v>24</v>
      </c>
      <c r="L97" s="1" t="s">
        <v>25</v>
      </c>
      <c r="M97" s="2" t="s">
        <v>26</v>
      </c>
      <c r="N97" s="2" t="s">
        <v>26</v>
      </c>
      <c r="O97" s="2">
        <v>10701492.66</v>
      </c>
      <c r="P97" s="1" t="s">
        <v>27</v>
      </c>
    </row>
    <row r="98" spans="1:16" outlineLevel="1">
      <c r="A98" s="13" t="s">
        <v>1358</v>
      </c>
      <c r="M98" s="2">
        <f>SUBTOTAL(9,M97:M97)</f>
        <v>0</v>
      </c>
      <c r="N98" s="2">
        <f>SUBTOTAL(9,N97:N97)</f>
        <v>0</v>
      </c>
    </row>
    <row r="99" spans="1:16" outlineLevel="2">
      <c r="A99" s="1" t="s">
        <v>223</v>
      </c>
      <c r="B99" s="1" t="s">
        <v>224</v>
      </c>
      <c r="C99" s="1" t="s">
        <v>225</v>
      </c>
      <c r="D99" s="2">
        <v>-79520786.519999996</v>
      </c>
      <c r="E99" s="1" t="s">
        <v>18</v>
      </c>
      <c r="F99" s="3" t="s">
        <v>19</v>
      </c>
      <c r="G99" s="4" t="s">
        <v>20</v>
      </c>
      <c r="H99" s="1" t="s">
        <v>21</v>
      </c>
      <c r="I99" s="1" t="s">
        <v>22</v>
      </c>
      <c r="J99" s="1" t="s">
        <v>23</v>
      </c>
      <c r="K99" s="2" t="s">
        <v>24</v>
      </c>
      <c r="L99" s="1" t="s">
        <v>25</v>
      </c>
      <c r="M99" s="2" t="s">
        <v>26</v>
      </c>
      <c r="N99" s="2" t="s">
        <v>26</v>
      </c>
      <c r="O99" s="2">
        <v>-79520786.519999996</v>
      </c>
      <c r="P99" s="1" t="s">
        <v>27</v>
      </c>
    </row>
    <row r="100" spans="1:16" outlineLevel="1">
      <c r="A100" s="13" t="s">
        <v>1359</v>
      </c>
      <c r="M100" s="2">
        <f>SUBTOTAL(9,M99:M99)</f>
        <v>0</v>
      </c>
      <c r="N100" s="2">
        <f>SUBTOTAL(9,N99:N99)</f>
        <v>0</v>
      </c>
    </row>
    <row r="101" spans="1:16" outlineLevel="2">
      <c r="A101" s="1" t="s">
        <v>226</v>
      </c>
      <c r="B101" s="1" t="s">
        <v>227</v>
      </c>
      <c r="C101" s="1" t="s">
        <v>228</v>
      </c>
      <c r="D101" s="2">
        <v>69056819.629999995</v>
      </c>
      <c r="E101" s="1" t="s">
        <v>229</v>
      </c>
      <c r="F101" s="3">
        <v>46213</v>
      </c>
      <c r="G101" s="4">
        <v>890211777</v>
      </c>
      <c r="H101" s="1" t="s">
        <v>128</v>
      </c>
      <c r="I101" s="1" t="s">
        <v>81</v>
      </c>
      <c r="J101" s="1" t="s">
        <v>23</v>
      </c>
      <c r="K101" s="2">
        <v>650106</v>
      </c>
      <c r="L101" s="1" t="s">
        <v>25</v>
      </c>
      <c r="M101" s="2">
        <v>26004.240000000002</v>
      </c>
      <c r="N101" s="2" t="s">
        <v>26</v>
      </c>
      <c r="O101" s="2">
        <v>69082823.870000005</v>
      </c>
      <c r="P101" s="1" t="s">
        <v>130</v>
      </c>
    </row>
    <row r="102" spans="1:16" outlineLevel="2">
      <c r="A102" s="1" t="s">
        <v>226</v>
      </c>
      <c r="B102" s="1" t="s">
        <v>227</v>
      </c>
      <c r="C102" s="1" t="s">
        <v>228</v>
      </c>
      <c r="D102" s="2">
        <v>69056819.629999995</v>
      </c>
      <c r="E102" s="1" t="s">
        <v>230</v>
      </c>
      <c r="F102" s="3">
        <v>46213</v>
      </c>
      <c r="G102" s="4">
        <v>890106697</v>
      </c>
      <c r="H102" s="1" t="s">
        <v>132</v>
      </c>
      <c r="I102" s="1" t="s">
        <v>41</v>
      </c>
      <c r="J102" s="1" t="s">
        <v>23</v>
      </c>
      <c r="K102" s="2">
        <v>2483954</v>
      </c>
      <c r="L102" s="1" t="s">
        <v>25</v>
      </c>
      <c r="M102" s="2">
        <v>99358.16</v>
      </c>
      <c r="N102" s="2" t="s">
        <v>26</v>
      </c>
      <c r="O102" s="2">
        <v>69182182.030000001</v>
      </c>
      <c r="P102" s="1" t="s">
        <v>134</v>
      </c>
    </row>
    <row r="103" spans="1:16" outlineLevel="2">
      <c r="A103" s="1" t="s">
        <v>226</v>
      </c>
      <c r="B103" s="1" t="s">
        <v>227</v>
      </c>
      <c r="C103" s="1" t="s">
        <v>228</v>
      </c>
      <c r="D103" s="2">
        <v>69056819.629999995</v>
      </c>
      <c r="E103" s="1" t="s">
        <v>231</v>
      </c>
      <c r="F103" s="3">
        <v>46213</v>
      </c>
      <c r="G103" s="4">
        <v>890106697</v>
      </c>
      <c r="H103" s="1" t="s">
        <v>132</v>
      </c>
      <c r="I103" s="1" t="s">
        <v>41</v>
      </c>
      <c r="J103" s="1" t="s">
        <v>23</v>
      </c>
      <c r="K103" s="2">
        <v>2483954</v>
      </c>
      <c r="L103" s="1" t="s">
        <v>25</v>
      </c>
      <c r="M103" s="2">
        <v>99358.16</v>
      </c>
      <c r="N103" s="2" t="s">
        <v>26</v>
      </c>
      <c r="O103" s="2">
        <v>69281540.189999998</v>
      </c>
      <c r="P103" s="1" t="s">
        <v>137</v>
      </c>
    </row>
    <row r="104" spans="1:16" outlineLevel="2">
      <c r="A104" s="1" t="s">
        <v>226</v>
      </c>
      <c r="B104" s="1" t="s">
        <v>227</v>
      </c>
      <c r="C104" s="1" t="s">
        <v>228</v>
      </c>
      <c r="D104" s="2">
        <v>69056819.629999995</v>
      </c>
      <c r="E104" s="1" t="s">
        <v>232</v>
      </c>
      <c r="F104" s="3">
        <v>46220</v>
      </c>
      <c r="G104" s="4">
        <v>830060331</v>
      </c>
      <c r="H104" s="1" t="s">
        <v>124</v>
      </c>
      <c r="I104" s="1" t="s">
        <v>48</v>
      </c>
      <c r="J104" s="1" t="s">
        <v>23</v>
      </c>
      <c r="K104" s="2">
        <v>1972510.91</v>
      </c>
      <c r="L104" s="1" t="s">
        <v>25</v>
      </c>
      <c r="M104" s="2">
        <v>78900.44</v>
      </c>
      <c r="N104" s="2" t="s">
        <v>26</v>
      </c>
      <c r="O104" s="2">
        <v>69360440.629999995</v>
      </c>
      <c r="P104" s="1" t="s">
        <v>140</v>
      </c>
    </row>
    <row r="105" spans="1:16" outlineLevel="2">
      <c r="A105" s="1" t="s">
        <v>226</v>
      </c>
      <c r="B105" s="1" t="s">
        <v>227</v>
      </c>
      <c r="C105" s="1" t="s">
        <v>228</v>
      </c>
      <c r="D105" s="2">
        <v>69056819.629999995</v>
      </c>
      <c r="E105" s="1" t="s">
        <v>233</v>
      </c>
      <c r="F105" s="3">
        <v>46220</v>
      </c>
      <c r="G105" s="4">
        <v>830060331</v>
      </c>
      <c r="H105" s="1" t="s">
        <v>124</v>
      </c>
      <c r="I105" s="1" t="s">
        <v>48</v>
      </c>
      <c r="J105" s="1" t="s">
        <v>23</v>
      </c>
      <c r="K105" s="2">
        <v>4674582.42</v>
      </c>
      <c r="L105" s="1" t="s">
        <v>25</v>
      </c>
      <c r="M105" s="2">
        <v>186983.3</v>
      </c>
      <c r="N105" s="2" t="s">
        <v>26</v>
      </c>
      <c r="O105" s="2">
        <v>69547423.930000007</v>
      </c>
      <c r="P105" s="1" t="s">
        <v>143</v>
      </c>
    </row>
    <row r="106" spans="1:16" outlineLevel="2">
      <c r="A106" s="1" t="s">
        <v>226</v>
      </c>
      <c r="B106" s="1" t="s">
        <v>227</v>
      </c>
      <c r="C106" s="1" t="s">
        <v>228</v>
      </c>
      <c r="D106" s="2">
        <v>69056819.629999995</v>
      </c>
      <c r="E106" s="1" t="s">
        <v>234</v>
      </c>
      <c r="F106" s="3">
        <v>46220</v>
      </c>
      <c r="G106" s="4">
        <v>800148462</v>
      </c>
      <c r="H106" s="1" t="s">
        <v>115</v>
      </c>
      <c r="I106" s="1" t="s">
        <v>36</v>
      </c>
      <c r="J106" s="1" t="s">
        <v>23</v>
      </c>
      <c r="K106" s="2">
        <v>7000000</v>
      </c>
      <c r="L106" s="1" t="s">
        <v>25</v>
      </c>
      <c r="M106" s="2">
        <v>280000</v>
      </c>
      <c r="N106" s="2" t="s">
        <v>26</v>
      </c>
      <c r="O106" s="2">
        <v>69827423.930000007</v>
      </c>
      <c r="P106" s="1" t="s">
        <v>146</v>
      </c>
    </row>
    <row r="107" spans="1:16" outlineLevel="2">
      <c r="A107" s="1" t="s">
        <v>226</v>
      </c>
      <c r="B107" s="1" t="s">
        <v>227</v>
      </c>
      <c r="C107" s="1" t="s">
        <v>228</v>
      </c>
      <c r="D107" s="2">
        <v>69056819.629999995</v>
      </c>
      <c r="E107" s="1" t="s">
        <v>235</v>
      </c>
      <c r="F107" s="3">
        <v>46224</v>
      </c>
      <c r="G107" s="4">
        <v>901067419</v>
      </c>
      <c r="H107" s="1" t="s">
        <v>148</v>
      </c>
      <c r="I107" s="1" t="s">
        <v>83</v>
      </c>
      <c r="J107" s="1" t="s">
        <v>23</v>
      </c>
      <c r="K107" s="2">
        <v>7000000</v>
      </c>
      <c r="L107" s="1" t="s">
        <v>25</v>
      </c>
      <c r="M107" s="2">
        <v>70000</v>
      </c>
      <c r="N107" s="2" t="s">
        <v>26</v>
      </c>
      <c r="O107" s="2">
        <v>69897423.930000007</v>
      </c>
      <c r="P107" s="1" t="s">
        <v>150</v>
      </c>
    </row>
    <row r="108" spans="1:16" outlineLevel="2">
      <c r="A108" s="1" t="s">
        <v>226</v>
      </c>
      <c r="B108" s="1" t="s">
        <v>227</v>
      </c>
      <c r="C108" s="1" t="s">
        <v>228</v>
      </c>
      <c r="D108" s="2">
        <v>69056819.629999995</v>
      </c>
      <c r="E108" s="1" t="s">
        <v>236</v>
      </c>
      <c r="F108" s="3">
        <v>46224</v>
      </c>
      <c r="G108" s="4">
        <v>901069576</v>
      </c>
      <c r="H108" s="1" t="s">
        <v>152</v>
      </c>
      <c r="I108" s="1" t="s">
        <v>153</v>
      </c>
      <c r="J108" s="1" t="s">
        <v>23</v>
      </c>
      <c r="K108" s="2">
        <v>3000000</v>
      </c>
      <c r="L108" s="1" t="s">
        <v>25</v>
      </c>
      <c r="M108" s="2">
        <v>120000</v>
      </c>
      <c r="N108" s="2" t="s">
        <v>26</v>
      </c>
      <c r="O108" s="2">
        <v>70017423.930000007</v>
      </c>
      <c r="P108" s="1" t="s">
        <v>155</v>
      </c>
    </row>
    <row r="109" spans="1:16" outlineLevel="2">
      <c r="A109" s="1" t="s">
        <v>226</v>
      </c>
      <c r="B109" s="1" t="s">
        <v>227</v>
      </c>
      <c r="C109" s="1" t="s">
        <v>228</v>
      </c>
      <c r="D109" s="2">
        <v>69056819.629999995</v>
      </c>
      <c r="E109" s="1" t="s">
        <v>237</v>
      </c>
      <c r="F109" s="3">
        <v>46227</v>
      </c>
      <c r="G109" s="4">
        <v>901226733</v>
      </c>
      <c r="H109" s="1" t="s">
        <v>163</v>
      </c>
      <c r="I109" s="1" t="s">
        <v>101</v>
      </c>
      <c r="J109" s="1" t="s">
        <v>23</v>
      </c>
      <c r="K109" s="2">
        <v>8983084</v>
      </c>
      <c r="L109" s="1" t="s">
        <v>25</v>
      </c>
      <c r="M109" s="2">
        <v>359323.36</v>
      </c>
      <c r="N109" s="2" t="s">
        <v>26</v>
      </c>
      <c r="O109" s="2">
        <v>70376747.290000007</v>
      </c>
      <c r="P109" s="1" t="s">
        <v>165</v>
      </c>
    </row>
    <row r="110" spans="1:16" outlineLevel="2">
      <c r="A110" s="1" t="s">
        <v>226</v>
      </c>
      <c r="B110" s="1" t="s">
        <v>227</v>
      </c>
      <c r="C110" s="1" t="s">
        <v>228</v>
      </c>
      <c r="D110" s="2">
        <v>69056819.629999995</v>
      </c>
      <c r="E110" s="1" t="s">
        <v>238</v>
      </c>
      <c r="F110" s="3">
        <v>46227</v>
      </c>
      <c r="G110" s="4">
        <v>830060331</v>
      </c>
      <c r="H110" s="1" t="s">
        <v>124</v>
      </c>
      <c r="I110" s="1" t="s">
        <v>48</v>
      </c>
      <c r="J110" s="1" t="s">
        <v>23</v>
      </c>
      <c r="K110" s="2">
        <v>4674582.42</v>
      </c>
      <c r="L110" s="1" t="s">
        <v>25</v>
      </c>
      <c r="M110" s="2">
        <v>186983.3</v>
      </c>
      <c r="N110" s="2" t="s">
        <v>26</v>
      </c>
      <c r="O110" s="2">
        <v>70563730.590000004</v>
      </c>
      <c r="P110" s="1" t="s">
        <v>168</v>
      </c>
    </row>
    <row r="111" spans="1:16" outlineLevel="2">
      <c r="A111" s="1" t="s">
        <v>226</v>
      </c>
      <c r="B111" s="1" t="s">
        <v>227</v>
      </c>
      <c r="C111" s="1" t="s">
        <v>228</v>
      </c>
      <c r="D111" s="2">
        <v>69056819.629999995</v>
      </c>
      <c r="E111" s="1" t="s">
        <v>239</v>
      </c>
      <c r="F111" s="3">
        <v>46227</v>
      </c>
      <c r="G111" s="4">
        <v>890106697</v>
      </c>
      <c r="H111" s="1" t="s">
        <v>132</v>
      </c>
      <c r="I111" s="1" t="s">
        <v>41</v>
      </c>
      <c r="J111" s="1" t="s">
        <v>23</v>
      </c>
      <c r="K111" s="2">
        <v>869073</v>
      </c>
      <c r="L111" s="1" t="s">
        <v>25</v>
      </c>
      <c r="M111" s="2">
        <v>34762.92</v>
      </c>
      <c r="N111" s="2" t="s">
        <v>26</v>
      </c>
      <c r="O111" s="2">
        <v>70598493.510000005</v>
      </c>
      <c r="P111" s="1" t="s">
        <v>171</v>
      </c>
    </row>
    <row r="112" spans="1:16" outlineLevel="2">
      <c r="A112" s="1" t="s">
        <v>226</v>
      </c>
      <c r="B112" s="1" t="s">
        <v>227</v>
      </c>
      <c r="C112" s="1" t="s">
        <v>228</v>
      </c>
      <c r="D112" s="2">
        <v>69056819.629999995</v>
      </c>
      <c r="E112" s="1" t="s">
        <v>240</v>
      </c>
      <c r="F112" s="3">
        <v>46230</v>
      </c>
      <c r="G112" s="4">
        <v>900268901</v>
      </c>
      <c r="H112" s="1" t="s">
        <v>189</v>
      </c>
      <c r="I112" s="1" t="s">
        <v>190</v>
      </c>
      <c r="J112" s="1" t="s">
        <v>23</v>
      </c>
      <c r="K112" s="2">
        <v>12374471</v>
      </c>
      <c r="L112" s="1" t="s">
        <v>25</v>
      </c>
      <c r="M112" s="2">
        <v>309361.78000000003</v>
      </c>
      <c r="N112" s="2" t="s">
        <v>26</v>
      </c>
      <c r="O112" s="2">
        <v>70907855.290000007</v>
      </c>
      <c r="P112" s="1" t="s">
        <v>192</v>
      </c>
    </row>
    <row r="113" spans="1:16" outlineLevel="1">
      <c r="A113" s="13" t="s">
        <v>1360</v>
      </c>
      <c r="M113" s="2">
        <f>SUBTOTAL(9,M101:M112)</f>
        <v>1851035.6600000001</v>
      </c>
      <c r="N113" s="2">
        <f>SUBTOTAL(9,N101:N112)</f>
        <v>0</v>
      </c>
    </row>
    <row r="114" spans="1:16" outlineLevel="2">
      <c r="A114" s="1" t="s">
        <v>241</v>
      </c>
      <c r="B114" s="1" t="s">
        <v>242</v>
      </c>
      <c r="C114" s="1" t="s">
        <v>243</v>
      </c>
      <c r="D114" s="2">
        <v>47649</v>
      </c>
      <c r="E114" s="1" t="s">
        <v>18</v>
      </c>
      <c r="F114" s="3" t="s">
        <v>19</v>
      </c>
      <c r="G114" s="4" t="s">
        <v>20</v>
      </c>
      <c r="H114" s="1" t="s">
        <v>21</v>
      </c>
      <c r="I114" s="1" t="s">
        <v>22</v>
      </c>
      <c r="J114" s="1" t="s">
        <v>23</v>
      </c>
      <c r="K114" s="2" t="s">
        <v>24</v>
      </c>
      <c r="L114" s="1" t="s">
        <v>25</v>
      </c>
      <c r="M114" s="2" t="s">
        <v>26</v>
      </c>
      <c r="N114" s="2" t="s">
        <v>26</v>
      </c>
      <c r="O114" s="2">
        <v>47649</v>
      </c>
      <c r="P114" s="1" t="s">
        <v>27</v>
      </c>
    </row>
    <row r="115" spans="1:16" outlineLevel="1">
      <c r="A115" s="13" t="s">
        <v>1361</v>
      </c>
      <c r="M115" s="2">
        <f>SUBTOTAL(9,M114:M114)</f>
        <v>0</v>
      </c>
      <c r="N115" s="2">
        <f>SUBTOTAL(9,N114:N114)</f>
        <v>0</v>
      </c>
    </row>
    <row r="116" spans="1:16" outlineLevel="2">
      <c r="A116" s="1" t="s">
        <v>244</v>
      </c>
      <c r="B116" s="1" t="s">
        <v>245</v>
      </c>
      <c r="C116" s="1" t="s">
        <v>246</v>
      </c>
      <c r="D116" s="2">
        <v>60000</v>
      </c>
      <c r="E116" s="1" t="s">
        <v>18</v>
      </c>
      <c r="F116" s="3" t="s">
        <v>19</v>
      </c>
      <c r="G116" s="4" t="s">
        <v>20</v>
      </c>
      <c r="H116" s="1" t="s">
        <v>21</v>
      </c>
      <c r="I116" s="1" t="s">
        <v>22</v>
      </c>
      <c r="J116" s="1" t="s">
        <v>23</v>
      </c>
      <c r="K116" s="2" t="s">
        <v>24</v>
      </c>
      <c r="L116" s="1" t="s">
        <v>25</v>
      </c>
      <c r="M116" s="2" t="s">
        <v>26</v>
      </c>
      <c r="N116" s="2" t="s">
        <v>26</v>
      </c>
      <c r="O116" s="2">
        <v>60000</v>
      </c>
      <c r="P116" s="1" t="s">
        <v>27</v>
      </c>
    </row>
    <row r="117" spans="1:16" outlineLevel="1">
      <c r="A117" s="13" t="s">
        <v>1362</v>
      </c>
      <c r="M117" s="2">
        <f>SUBTOTAL(9,M116:M116)</f>
        <v>0</v>
      </c>
      <c r="N117" s="2">
        <f>SUBTOTAL(9,N116:N116)</f>
        <v>0</v>
      </c>
    </row>
    <row r="118" spans="1:16" outlineLevel="2">
      <c r="A118" s="1" t="s">
        <v>247</v>
      </c>
      <c r="B118" s="1" t="s">
        <v>248</v>
      </c>
      <c r="C118" s="1" t="s">
        <v>249</v>
      </c>
      <c r="D118" s="2">
        <v>-56751078.619999997</v>
      </c>
      <c r="E118" s="1" t="s">
        <v>18</v>
      </c>
      <c r="F118" s="3" t="s">
        <v>19</v>
      </c>
      <c r="G118" s="4" t="s">
        <v>20</v>
      </c>
      <c r="H118" s="1" t="s">
        <v>21</v>
      </c>
      <c r="I118" s="1" t="s">
        <v>22</v>
      </c>
      <c r="J118" s="1" t="s">
        <v>23</v>
      </c>
      <c r="K118" s="2" t="s">
        <v>24</v>
      </c>
      <c r="L118" s="1" t="s">
        <v>25</v>
      </c>
      <c r="M118" s="2" t="s">
        <v>26</v>
      </c>
      <c r="N118" s="2" t="s">
        <v>26</v>
      </c>
      <c r="O118" s="2">
        <v>-56751078.619999997</v>
      </c>
      <c r="P118" s="1" t="s">
        <v>27</v>
      </c>
    </row>
    <row r="119" spans="1:16" outlineLevel="1">
      <c r="A119" s="13" t="s">
        <v>1363</v>
      </c>
      <c r="M119" s="2">
        <f>SUBTOTAL(9,M118:M118)</f>
        <v>0</v>
      </c>
      <c r="N119" s="2">
        <f>SUBTOTAL(9,N118:N118)</f>
        <v>0</v>
      </c>
    </row>
    <row r="120" spans="1:16" outlineLevel="2">
      <c r="A120" s="1" t="s">
        <v>250</v>
      </c>
      <c r="B120" s="1" t="s">
        <v>251</v>
      </c>
      <c r="C120" s="1" t="s">
        <v>252</v>
      </c>
      <c r="D120" s="2">
        <v>0</v>
      </c>
      <c r="E120" s="1" t="s">
        <v>253</v>
      </c>
      <c r="F120" s="3">
        <v>46213</v>
      </c>
      <c r="G120" s="4">
        <v>890211777</v>
      </c>
      <c r="H120" s="1" t="s">
        <v>128</v>
      </c>
      <c r="I120" s="1" t="s">
        <v>81</v>
      </c>
      <c r="J120" s="1" t="s">
        <v>23</v>
      </c>
      <c r="K120" s="2">
        <v>123520.14</v>
      </c>
      <c r="L120" s="1" t="s">
        <v>25</v>
      </c>
      <c r="M120" s="2">
        <v>18528.02</v>
      </c>
      <c r="N120" s="2" t="s">
        <v>26</v>
      </c>
      <c r="O120" s="2">
        <v>18528.02</v>
      </c>
      <c r="P120" s="1" t="s">
        <v>130</v>
      </c>
    </row>
    <row r="121" spans="1:16" outlineLevel="2">
      <c r="A121" s="1" t="s">
        <v>250</v>
      </c>
      <c r="B121" s="1" t="s">
        <v>251</v>
      </c>
      <c r="C121" s="1" t="s">
        <v>252</v>
      </c>
      <c r="D121" s="2">
        <v>0</v>
      </c>
      <c r="E121" s="1" t="s">
        <v>254</v>
      </c>
      <c r="F121" s="3">
        <v>46220</v>
      </c>
      <c r="G121" s="4">
        <v>830060331</v>
      </c>
      <c r="H121" s="1" t="s">
        <v>124</v>
      </c>
      <c r="I121" s="1" t="s">
        <v>48</v>
      </c>
      <c r="J121" s="1" t="s">
        <v>23</v>
      </c>
      <c r="K121" s="2">
        <v>374777.07</v>
      </c>
      <c r="L121" s="1" t="s">
        <v>25</v>
      </c>
      <c r="M121" s="2">
        <v>56216.56</v>
      </c>
      <c r="N121" s="2" t="s">
        <v>26</v>
      </c>
      <c r="O121" s="2">
        <v>74744.58</v>
      </c>
      <c r="P121" s="1" t="s">
        <v>140</v>
      </c>
    </row>
    <row r="122" spans="1:16" outlineLevel="2">
      <c r="A122" s="1" t="s">
        <v>250</v>
      </c>
      <c r="B122" s="1" t="s">
        <v>251</v>
      </c>
      <c r="C122" s="1" t="s">
        <v>252</v>
      </c>
      <c r="D122" s="2">
        <v>0</v>
      </c>
      <c r="E122" s="1" t="s">
        <v>255</v>
      </c>
      <c r="F122" s="3">
        <v>46220</v>
      </c>
      <c r="G122" s="4">
        <v>830060331</v>
      </c>
      <c r="H122" s="1" t="s">
        <v>124</v>
      </c>
      <c r="I122" s="1" t="s">
        <v>48</v>
      </c>
      <c r="J122" s="1" t="s">
        <v>23</v>
      </c>
      <c r="K122" s="2">
        <v>888170.66</v>
      </c>
      <c r="L122" s="1" t="s">
        <v>25</v>
      </c>
      <c r="M122" s="2">
        <v>133225.60000000001</v>
      </c>
      <c r="N122" s="2" t="s">
        <v>26</v>
      </c>
      <c r="O122" s="2">
        <v>207970.18</v>
      </c>
      <c r="P122" s="1" t="s">
        <v>143</v>
      </c>
    </row>
    <row r="123" spans="1:16" outlineLevel="2">
      <c r="A123" s="1" t="s">
        <v>250</v>
      </c>
      <c r="B123" s="1" t="s">
        <v>251</v>
      </c>
      <c r="C123" s="1" t="s">
        <v>252</v>
      </c>
      <c r="D123" s="2">
        <v>0</v>
      </c>
      <c r="E123" s="1" t="s">
        <v>256</v>
      </c>
      <c r="F123" s="3">
        <v>46220</v>
      </c>
      <c r="G123" s="4">
        <v>800148462</v>
      </c>
      <c r="H123" s="1" t="s">
        <v>115</v>
      </c>
      <c r="I123" s="1" t="s">
        <v>36</v>
      </c>
      <c r="J123" s="1" t="s">
        <v>23</v>
      </c>
      <c r="K123" s="2">
        <v>1330000</v>
      </c>
      <c r="L123" s="1" t="s">
        <v>25</v>
      </c>
      <c r="M123" s="2">
        <v>199500</v>
      </c>
      <c r="N123" s="2" t="s">
        <v>26</v>
      </c>
      <c r="O123" s="2">
        <v>407470.18</v>
      </c>
      <c r="P123" s="1" t="s">
        <v>146</v>
      </c>
    </row>
    <row r="124" spans="1:16" outlineLevel="2">
      <c r="A124" s="1" t="s">
        <v>250</v>
      </c>
      <c r="B124" s="1" t="s">
        <v>251</v>
      </c>
      <c r="C124" s="1" t="s">
        <v>252</v>
      </c>
      <c r="D124" s="2">
        <v>0</v>
      </c>
      <c r="E124" s="1" t="s">
        <v>257</v>
      </c>
      <c r="F124" s="3">
        <v>46227</v>
      </c>
      <c r="G124" s="4">
        <v>830060331</v>
      </c>
      <c r="H124" s="1" t="s">
        <v>124</v>
      </c>
      <c r="I124" s="1" t="s">
        <v>48</v>
      </c>
      <c r="J124" s="1" t="s">
        <v>23</v>
      </c>
      <c r="K124" s="2">
        <v>888170.66</v>
      </c>
      <c r="L124" s="1" t="s">
        <v>25</v>
      </c>
      <c r="M124" s="2">
        <v>133225.60000000001</v>
      </c>
      <c r="N124" s="2" t="s">
        <v>26</v>
      </c>
      <c r="O124" s="2">
        <v>540695.78</v>
      </c>
      <c r="P124" s="1" t="s">
        <v>168</v>
      </c>
    </row>
    <row r="125" spans="1:16" outlineLevel="2">
      <c r="A125" s="1" t="s">
        <v>250</v>
      </c>
      <c r="B125" s="1" t="s">
        <v>251</v>
      </c>
      <c r="C125" s="1" t="s">
        <v>252</v>
      </c>
      <c r="D125" s="2">
        <v>0</v>
      </c>
      <c r="E125" s="1" t="s">
        <v>258</v>
      </c>
      <c r="F125" s="3">
        <v>46230</v>
      </c>
      <c r="G125" s="4">
        <v>900268901</v>
      </c>
      <c r="H125" s="1" t="s">
        <v>189</v>
      </c>
      <c r="I125" s="1" t="s">
        <v>190</v>
      </c>
      <c r="J125" s="1" t="s">
        <v>23</v>
      </c>
      <c r="K125" s="2">
        <v>2351149.4900000002</v>
      </c>
      <c r="L125" s="1" t="s">
        <v>25</v>
      </c>
      <c r="M125" s="2">
        <v>352672.42</v>
      </c>
      <c r="N125" s="2" t="s">
        <v>26</v>
      </c>
      <c r="O125" s="2">
        <v>893368.2</v>
      </c>
      <c r="P125" s="1" t="s">
        <v>192</v>
      </c>
    </row>
    <row r="126" spans="1:16" outlineLevel="1">
      <c r="A126" s="13" t="s">
        <v>1364</v>
      </c>
      <c r="M126" s="2">
        <f>SUBTOTAL(9,M120:M125)</f>
        <v>893368.2</v>
      </c>
      <c r="N126" s="2">
        <f>SUBTOTAL(9,N120:N125)</f>
        <v>0</v>
      </c>
    </row>
    <row r="127" spans="1:16" outlineLevel="2">
      <c r="A127" s="1" t="s">
        <v>259</v>
      </c>
      <c r="B127" s="1" t="s">
        <v>260</v>
      </c>
      <c r="C127" s="1" t="s">
        <v>261</v>
      </c>
      <c r="D127" s="2">
        <v>0</v>
      </c>
      <c r="E127" s="1" t="s">
        <v>262</v>
      </c>
      <c r="F127" s="3">
        <v>46209</v>
      </c>
      <c r="G127" s="4">
        <v>830060331</v>
      </c>
      <c r="H127" s="1" t="s">
        <v>124</v>
      </c>
      <c r="I127" s="1" t="s">
        <v>263</v>
      </c>
      <c r="J127" s="1" t="s">
        <v>23</v>
      </c>
      <c r="K127" s="2">
        <v>7694558</v>
      </c>
      <c r="L127" s="1" t="s">
        <v>25</v>
      </c>
      <c r="M127" s="2">
        <v>96181.98</v>
      </c>
      <c r="N127" s="2" t="s">
        <v>26</v>
      </c>
      <c r="O127" s="2">
        <v>96181.98</v>
      </c>
      <c r="P127" s="1" t="s">
        <v>27</v>
      </c>
    </row>
    <row r="128" spans="1:16" outlineLevel="2">
      <c r="A128" s="1" t="s">
        <v>259</v>
      </c>
      <c r="B128" s="1" t="s">
        <v>260</v>
      </c>
      <c r="C128" s="1" t="s">
        <v>261</v>
      </c>
      <c r="D128" s="2">
        <v>0</v>
      </c>
      <c r="E128" s="1" t="s">
        <v>264</v>
      </c>
      <c r="F128" s="3">
        <v>46213</v>
      </c>
      <c r="G128" s="4">
        <v>890106697</v>
      </c>
      <c r="H128" s="1" t="s">
        <v>132</v>
      </c>
      <c r="I128" s="1" t="s">
        <v>41</v>
      </c>
      <c r="J128" s="1" t="s">
        <v>23</v>
      </c>
      <c r="K128" s="2">
        <v>2483954</v>
      </c>
      <c r="L128" s="1" t="s">
        <v>25</v>
      </c>
      <c r="M128" s="2">
        <v>31049.43</v>
      </c>
      <c r="N128" s="2" t="s">
        <v>26</v>
      </c>
      <c r="O128" s="2">
        <v>127231.41</v>
      </c>
      <c r="P128" s="1" t="s">
        <v>134</v>
      </c>
    </row>
    <row r="129" spans="1:16" outlineLevel="2">
      <c r="A129" s="1" t="s">
        <v>259</v>
      </c>
      <c r="B129" s="1" t="s">
        <v>260</v>
      </c>
      <c r="C129" s="1" t="s">
        <v>261</v>
      </c>
      <c r="D129" s="2">
        <v>0</v>
      </c>
      <c r="E129" s="1" t="s">
        <v>265</v>
      </c>
      <c r="F129" s="3">
        <v>46213</v>
      </c>
      <c r="G129" s="4">
        <v>890106697</v>
      </c>
      <c r="H129" s="1" t="s">
        <v>132</v>
      </c>
      <c r="I129" s="1" t="s">
        <v>41</v>
      </c>
      <c r="J129" s="1" t="s">
        <v>23</v>
      </c>
      <c r="K129" s="2">
        <v>2483954</v>
      </c>
      <c r="L129" s="1" t="s">
        <v>25</v>
      </c>
      <c r="M129" s="2">
        <v>31049.43</v>
      </c>
      <c r="N129" s="2" t="s">
        <v>26</v>
      </c>
      <c r="O129" s="2">
        <v>158280.84</v>
      </c>
      <c r="P129" s="1" t="s">
        <v>137</v>
      </c>
    </row>
    <row r="130" spans="1:16" outlineLevel="2">
      <c r="A130" s="1" t="s">
        <v>259</v>
      </c>
      <c r="B130" s="1" t="s">
        <v>260</v>
      </c>
      <c r="C130" s="1" t="s">
        <v>261</v>
      </c>
      <c r="D130" s="2">
        <v>0</v>
      </c>
      <c r="E130" s="1" t="s">
        <v>266</v>
      </c>
      <c r="F130" s="3">
        <v>46220</v>
      </c>
      <c r="G130" s="4">
        <v>800148462</v>
      </c>
      <c r="H130" s="1" t="s">
        <v>115</v>
      </c>
      <c r="I130" s="1" t="s">
        <v>36</v>
      </c>
      <c r="J130" s="1" t="s">
        <v>23</v>
      </c>
      <c r="K130" s="2">
        <v>7000000</v>
      </c>
      <c r="L130" s="1" t="s">
        <v>25</v>
      </c>
      <c r="M130" s="2">
        <v>87500</v>
      </c>
      <c r="N130" s="2" t="s">
        <v>26</v>
      </c>
      <c r="O130" s="2">
        <v>245780.84</v>
      </c>
      <c r="P130" s="1" t="s">
        <v>146</v>
      </c>
    </row>
    <row r="131" spans="1:16" outlineLevel="2">
      <c r="A131" s="1" t="s">
        <v>259</v>
      </c>
      <c r="B131" s="1" t="s">
        <v>260</v>
      </c>
      <c r="C131" s="1" t="s">
        <v>261</v>
      </c>
      <c r="D131" s="2">
        <v>0</v>
      </c>
      <c r="E131" s="1" t="s">
        <v>267</v>
      </c>
      <c r="F131" s="3">
        <v>46225</v>
      </c>
      <c r="G131" s="4">
        <v>830060331</v>
      </c>
      <c r="H131" s="1" t="s">
        <v>124</v>
      </c>
      <c r="I131" s="1" t="s">
        <v>268</v>
      </c>
      <c r="J131" s="1" t="s">
        <v>23</v>
      </c>
      <c r="K131" s="2">
        <v>4674582.42</v>
      </c>
      <c r="L131" s="1" t="s">
        <v>25</v>
      </c>
      <c r="M131" s="2">
        <v>58432.28</v>
      </c>
      <c r="N131" s="2" t="s">
        <v>26</v>
      </c>
      <c r="O131" s="2">
        <v>304213.12</v>
      </c>
      <c r="P131" s="1" t="s">
        <v>27</v>
      </c>
    </row>
    <row r="132" spans="1:16" outlineLevel="2">
      <c r="A132" s="1" t="s">
        <v>259</v>
      </c>
      <c r="B132" s="1" t="s">
        <v>260</v>
      </c>
      <c r="C132" s="1" t="s">
        <v>261</v>
      </c>
      <c r="D132" s="2">
        <v>0</v>
      </c>
      <c r="E132" s="1" t="s">
        <v>269</v>
      </c>
      <c r="F132" s="3">
        <v>46225</v>
      </c>
      <c r="G132" s="4">
        <v>830060331</v>
      </c>
      <c r="H132" s="1" t="s">
        <v>124</v>
      </c>
      <c r="I132" s="1" t="s">
        <v>270</v>
      </c>
      <c r="J132" s="1" t="s">
        <v>23</v>
      </c>
      <c r="K132" s="2">
        <v>9349164</v>
      </c>
      <c r="L132" s="1" t="s">
        <v>25</v>
      </c>
      <c r="M132" s="2">
        <v>116864.55</v>
      </c>
      <c r="N132" s="2" t="s">
        <v>26</v>
      </c>
      <c r="O132" s="2">
        <v>421077.67</v>
      </c>
      <c r="P132" s="1" t="s">
        <v>27</v>
      </c>
    </row>
    <row r="133" spans="1:16" outlineLevel="2">
      <c r="A133" s="1" t="s">
        <v>259</v>
      </c>
      <c r="B133" s="1" t="s">
        <v>260</v>
      </c>
      <c r="C133" s="1" t="s">
        <v>261</v>
      </c>
      <c r="D133" s="2">
        <v>0</v>
      </c>
      <c r="E133" s="1" t="s">
        <v>271</v>
      </c>
      <c r="F133" s="3">
        <v>46227</v>
      </c>
      <c r="G133" s="4">
        <v>890106697</v>
      </c>
      <c r="H133" s="1" t="s">
        <v>132</v>
      </c>
      <c r="I133" s="1" t="s">
        <v>41</v>
      </c>
      <c r="J133" s="1" t="s">
        <v>23</v>
      </c>
      <c r="K133" s="2">
        <v>869073</v>
      </c>
      <c r="L133" s="1" t="s">
        <v>25</v>
      </c>
      <c r="M133" s="2">
        <v>10863.41</v>
      </c>
      <c r="N133" s="2" t="s">
        <v>26</v>
      </c>
      <c r="O133" s="2">
        <v>431941.08</v>
      </c>
      <c r="P133" s="1" t="s">
        <v>171</v>
      </c>
    </row>
    <row r="134" spans="1:16" outlineLevel="2">
      <c r="A134" s="1" t="s">
        <v>259</v>
      </c>
      <c r="B134" s="1" t="s">
        <v>260</v>
      </c>
      <c r="C134" s="1" t="s">
        <v>261</v>
      </c>
      <c r="D134" s="2">
        <v>0</v>
      </c>
      <c r="E134" s="1" t="s">
        <v>272</v>
      </c>
      <c r="F134" s="3">
        <v>46227</v>
      </c>
      <c r="G134" s="4">
        <v>890211777</v>
      </c>
      <c r="H134" s="1" t="s">
        <v>128</v>
      </c>
      <c r="I134" s="1" t="s">
        <v>273</v>
      </c>
      <c r="J134" s="1" t="s">
        <v>23</v>
      </c>
      <c r="K134" s="2">
        <v>3628873</v>
      </c>
      <c r="L134" s="1" t="s">
        <v>25</v>
      </c>
      <c r="M134" s="2">
        <v>45360.91</v>
      </c>
      <c r="N134" s="2" t="s">
        <v>26</v>
      </c>
      <c r="O134" s="2">
        <v>477301.99</v>
      </c>
      <c r="P134" s="1" t="s">
        <v>27</v>
      </c>
    </row>
    <row r="135" spans="1:16" outlineLevel="2">
      <c r="A135" s="1" t="s">
        <v>259</v>
      </c>
      <c r="B135" s="1" t="s">
        <v>260</v>
      </c>
      <c r="C135" s="1" t="s">
        <v>261</v>
      </c>
      <c r="D135" s="2">
        <v>0</v>
      </c>
      <c r="E135" s="1" t="s">
        <v>274</v>
      </c>
      <c r="F135" s="3">
        <v>46227</v>
      </c>
      <c r="G135" s="4">
        <v>890211777</v>
      </c>
      <c r="H135" s="1" t="s">
        <v>128</v>
      </c>
      <c r="I135" s="1" t="s">
        <v>275</v>
      </c>
      <c r="J135" s="1" t="s">
        <v>23</v>
      </c>
      <c r="K135" s="2">
        <v>6498823</v>
      </c>
      <c r="L135" s="1" t="s">
        <v>25</v>
      </c>
      <c r="M135" s="2">
        <v>81235.289999999994</v>
      </c>
      <c r="N135" s="2" t="s">
        <v>26</v>
      </c>
      <c r="O135" s="2">
        <v>558537.28</v>
      </c>
      <c r="P135" s="1" t="s">
        <v>27</v>
      </c>
    </row>
    <row r="136" spans="1:16" outlineLevel="1">
      <c r="A136" s="13" t="s">
        <v>1365</v>
      </c>
      <c r="M136" s="2">
        <f>SUBTOTAL(9,M127:M135)</f>
        <v>558537.28</v>
      </c>
      <c r="N136" s="2">
        <f>SUBTOTAL(9,N127:N135)</f>
        <v>0</v>
      </c>
    </row>
    <row r="137" spans="1:16" outlineLevel="2">
      <c r="A137" s="1" t="s">
        <v>276</v>
      </c>
      <c r="B137" s="1" t="s">
        <v>277</v>
      </c>
      <c r="C137" s="1" t="s">
        <v>278</v>
      </c>
      <c r="D137" s="2">
        <v>72603000</v>
      </c>
      <c r="E137" s="1" t="s">
        <v>18</v>
      </c>
      <c r="F137" s="3" t="s">
        <v>19</v>
      </c>
      <c r="G137" s="4" t="s">
        <v>20</v>
      </c>
      <c r="H137" s="1" t="s">
        <v>21</v>
      </c>
      <c r="I137" s="1" t="s">
        <v>22</v>
      </c>
      <c r="J137" s="1" t="s">
        <v>23</v>
      </c>
      <c r="K137" s="2" t="s">
        <v>24</v>
      </c>
      <c r="L137" s="1" t="s">
        <v>25</v>
      </c>
      <c r="M137" s="2" t="s">
        <v>26</v>
      </c>
      <c r="N137" s="2" t="s">
        <v>26</v>
      </c>
      <c r="O137" s="2">
        <v>72603000</v>
      </c>
      <c r="P137" s="1" t="s">
        <v>27</v>
      </c>
    </row>
    <row r="138" spans="1:16" outlineLevel="1">
      <c r="A138" s="13" t="s">
        <v>1366</v>
      </c>
      <c r="M138" s="2">
        <f>SUBTOTAL(9,M137:M137)</f>
        <v>0</v>
      </c>
      <c r="N138" s="2">
        <f>SUBTOTAL(9,N137:N137)</f>
        <v>0</v>
      </c>
    </row>
    <row r="139" spans="1:16" outlineLevel="2">
      <c r="A139" s="1" t="s">
        <v>279</v>
      </c>
      <c r="B139" s="1" t="s">
        <v>280</v>
      </c>
      <c r="C139" s="1" t="s">
        <v>281</v>
      </c>
      <c r="D139" s="2">
        <v>3918000</v>
      </c>
      <c r="E139" s="1" t="s">
        <v>18</v>
      </c>
      <c r="F139" s="3" t="s">
        <v>19</v>
      </c>
      <c r="G139" s="4" t="s">
        <v>20</v>
      </c>
      <c r="H139" s="1" t="s">
        <v>21</v>
      </c>
      <c r="I139" s="1" t="s">
        <v>22</v>
      </c>
      <c r="J139" s="1" t="s">
        <v>23</v>
      </c>
      <c r="K139" s="2" t="s">
        <v>24</v>
      </c>
      <c r="L139" s="1" t="s">
        <v>25</v>
      </c>
      <c r="M139" s="2" t="s">
        <v>26</v>
      </c>
      <c r="N139" s="2" t="s">
        <v>26</v>
      </c>
      <c r="O139" s="2">
        <v>3918000</v>
      </c>
      <c r="P139" s="1" t="s">
        <v>27</v>
      </c>
    </row>
    <row r="140" spans="1:16" outlineLevel="1">
      <c r="A140" s="13" t="s">
        <v>1367</v>
      </c>
      <c r="M140" s="2">
        <f>SUBTOTAL(9,M139:M139)</f>
        <v>0</v>
      </c>
      <c r="N140" s="2">
        <f>SUBTOTAL(9,N139:N139)</f>
        <v>0</v>
      </c>
    </row>
    <row r="141" spans="1:16" outlineLevel="2">
      <c r="A141" s="1" t="s">
        <v>282</v>
      </c>
      <c r="B141" s="1" t="s">
        <v>283</v>
      </c>
      <c r="C141" s="1" t="s">
        <v>284</v>
      </c>
      <c r="D141" s="2">
        <v>65140544</v>
      </c>
      <c r="E141" s="1" t="s">
        <v>18</v>
      </c>
      <c r="F141" s="3" t="s">
        <v>19</v>
      </c>
      <c r="G141" s="4" t="s">
        <v>20</v>
      </c>
      <c r="H141" s="1" t="s">
        <v>21</v>
      </c>
      <c r="I141" s="1" t="s">
        <v>22</v>
      </c>
      <c r="J141" s="1" t="s">
        <v>23</v>
      </c>
      <c r="K141" s="2" t="s">
        <v>24</v>
      </c>
      <c r="L141" s="1" t="s">
        <v>25</v>
      </c>
      <c r="M141" s="2" t="s">
        <v>26</v>
      </c>
      <c r="N141" s="2" t="s">
        <v>26</v>
      </c>
      <c r="O141" s="2">
        <v>65140544</v>
      </c>
      <c r="P141" s="1" t="s">
        <v>27</v>
      </c>
    </row>
    <row r="142" spans="1:16" outlineLevel="1">
      <c r="A142" s="13" t="s">
        <v>1368</v>
      </c>
      <c r="M142" s="2">
        <f>SUBTOTAL(9,M141:M141)</f>
        <v>0</v>
      </c>
      <c r="N142" s="2">
        <f>SUBTOTAL(9,N141:N141)</f>
        <v>0</v>
      </c>
    </row>
    <row r="143" spans="1:16" outlineLevel="2">
      <c r="A143" s="1" t="s">
        <v>285</v>
      </c>
      <c r="B143" s="1" t="s">
        <v>286</v>
      </c>
      <c r="C143" s="1" t="s">
        <v>287</v>
      </c>
      <c r="D143" s="2">
        <v>10504698.08</v>
      </c>
      <c r="E143" s="1" t="s">
        <v>288</v>
      </c>
      <c r="F143" s="3">
        <v>46213</v>
      </c>
      <c r="G143" s="4">
        <v>890211777</v>
      </c>
      <c r="H143" s="1" t="s">
        <v>128</v>
      </c>
      <c r="I143" s="1" t="s">
        <v>289</v>
      </c>
      <c r="J143" s="1" t="s">
        <v>23</v>
      </c>
      <c r="K143" s="2">
        <v>650106</v>
      </c>
      <c r="L143" s="1" t="s">
        <v>25</v>
      </c>
      <c r="M143" s="2">
        <v>3575.58</v>
      </c>
      <c r="N143" s="2" t="s">
        <v>26</v>
      </c>
      <c r="O143" s="2">
        <v>10508273.66</v>
      </c>
      <c r="P143" s="1" t="s">
        <v>130</v>
      </c>
    </row>
    <row r="144" spans="1:16" outlineLevel="2">
      <c r="A144" s="1" t="s">
        <v>285</v>
      </c>
      <c r="B144" s="1" t="s">
        <v>286</v>
      </c>
      <c r="C144" s="1" t="s">
        <v>287</v>
      </c>
      <c r="D144" s="2">
        <v>10504698.08</v>
      </c>
      <c r="E144" s="1" t="s">
        <v>290</v>
      </c>
      <c r="F144" s="3">
        <v>46213</v>
      </c>
      <c r="G144" s="4">
        <v>890106697</v>
      </c>
      <c r="H144" s="1" t="s">
        <v>132</v>
      </c>
      <c r="I144" s="1" t="s">
        <v>289</v>
      </c>
      <c r="J144" s="1" t="s">
        <v>23</v>
      </c>
      <c r="K144" s="2">
        <v>2483954</v>
      </c>
      <c r="L144" s="1" t="s">
        <v>25</v>
      </c>
      <c r="M144" s="2">
        <v>13661.74</v>
      </c>
      <c r="N144" s="2" t="s">
        <v>26</v>
      </c>
      <c r="O144" s="2">
        <v>10521935.4</v>
      </c>
      <c r="P144" s="1" t="s">
        <v>134</v>
      </c>
    </row>
    <row r="145" spans="1:16" outlineLevel="2">
      <c r="A145" s="1" t="s">
        <v>285</v>
      </c>
      <c r="B145" s="1" t="s">
        <v>286</v>
      </c>
      <c r="C145" s="1" t="s">
        <v>287</v>
      </c>
      <c r="D145" s="2">
        <v>10504698.08</v>
      </c>
      <c r="E145" s="1" t="s">
        <v>291</v>
      </c>
      <c r="F145" s="3">
        <v>46213</v>
      </c>
      <c r="G145" s="4">
        <v>890106697</v>
      </c>
      <c r="H145" s="1" t="s">
        <v>132</v>
      </c>
      <c r="I145" s="1" t="s">
        <v>289</v>
      </c>
      <c r="J145" s="1" t="s">
        <v>23</v>
      </c>
      <c r="K145" s="2">
        <v>2483954</v>
      </c>
      <c r="L145" s="1" t="s">
        <v>25</v>
      </c>
      <c r="M145" s="2">
        <v>13661.74</v>
      </c>
      <c r="N145" s="2" t="s">
        <v>26</v>
      </c>
      <c r="O145" s="2">
        <v>10535597.140000001</v>
      </c>
      <c r="P145" s="1" t="s">
        <v>137</v>
      </c>
    </row>
    <row r="146" spans="1:16" outlineLevel="2">
      <c r="A146" s="1" t="s">
        <v>285</v>
      </c>
      <c r="B146" s="1" t="s">
        <v>286</v>
      </c>
      <c r="C146" s="1" t="s">
        <v>287</v>
      </c>
      <c r="D146" s="2">
        <v>10504698.08</v>
      </c>
      <c r="E146" s="1" t="s">
        <v>292</v>
      </c>
      <c r="F146" s="3">
        <v>46220</v>
      </c>
      <c r="G146" s="4">
        <v>830060331</v>
      </c>
      <c r="H146" s="1" t="s">
        <v>124</v>
      </c>
      <c r="I146" s="1" t="s">
        <v>289</v>
      </c>
      <c r="J146" s="1" t="s">
        <v>23</v>
      </c>
      <c r="K146" s="2">
        <v>1972510.91</v>
      </c>
      <c r="L146" s="1" t="s">
        <v>25</v>
      </c>
      <c r="M146" s="2">
        <v>10848.81</v>
      </c>
      <c r="N146" s="2" t="s">
        <v>26</v>
      </c>
      <c r="O146" s="2">
        <v>10546445.949999999</v>
      </c>
      <c r="P146" s="1" t="s">
        <v>140</v>
      </c>
    </row>
    <row r="147" spans="1:16" outlineLevel="2">
      <c r="A147" s="1" t="s">
        <v>285</v>
      </c>
      <c r="B147" s="1" t="s">
        <v>286</v>
      </c>
      <c r="C147" s="1" t="s">
        <v>287</v>
      </c>
      <c r="D147" s="2">
        <v>10504698.08</v>
      </c>
      <c r="E147" s="1" t="s">
        <v>293</v>
      </c>
      <c r="F147" s="3">
        <v>46220</v>
      </c>
      <c r="G147" s="4">
        <v>830060331</v>
      </c>
      <c r="H147" s="1" t="s">
        <v>124</v>
      </c>
      <c r="I147" s="1" t="s">
        <v>289</v>
      </c>
      <c r="J147" s="1" t="s">
        <v>23</v>
      </c>
      <c r="K147" s="2">
        <v>4674582.42</v>
      </c>
      <c r="L147" s="1" t="s">
        <v>25</v>
      </c>
      <c r="M147" s="2">
        <v>25710.2</v>
      </c>
      <c r="N147" s="2" t="s">
        <v>26</v>
      </c>
      <c r="O147" s="2">
        <v>10572156.15</v>
      </c>
      <c r="P147" s="1" t="s">
        <v>143</v>
      </c>
    </row>
    <row r="148" spans="1:16" outlineLevel="2">
      <c r="A148" s="1" t="s">
        <v>285</v>
      </c>
      <c r="B148" s="1" t="s">
        <v>286</v>
      </c>
      <c r="C148" s="1" t="s">
        <v>287</v>
      </c>
      <c r="D148" s="2">
        <v>10504698.08</v>
      </c>
      <c r="E148" s="1" t="s">
        <v>294</v>
      </c>
      <c r="F148" s="3">
        <v>46220</v>
      </c>
      <c r="G148" s="4">
        <v>800148462</v>
      </c>
      <c r="H148" s="1" t="s">
        <v>115</v>
      </c>
      <c r="I148" s="1" t="s">
        <v>289</v>
      </c>
      <c r="J148" s="1" t="s">
        <v>23</v>
      </c>
      <c r="K148" s="2">
        <v>7000000</v>
      </c>
      <c r="L148" s="1" t="s">
        <v>25</v>
      </c>
      <c r="M148" s="2">
        <v>38500</v>
      </c>
      <c r="N148" s="2" t="s">
        <v>26</v>
      </c>
      <c r="O148" s="2">
        <v>10610656.15</v>
      </c>
      <c r="P148" s="1" t="s">
        <v>146</v>
      </c>
    </row>
    <row r="149" spans="1:16" outlineLevel="2">
      <c r="A149" s="1" t="s">
        <v>285</v>
      </c>
      <c r="B149" s="1" t="s">
        <v>286</v>
      </c>
      <c r="C149" s="1" t="s">
        <v>287</v>
      </c>
      <c r="D149" s="2">
        <v>10504698.08</v>
      </c>
      <c r="E149" s="1" t="s">
        <v>295</v>
      </c>
      <c r="F149" s="3">
        <v>46224</v>
      </c>
      <c r="G149" s="4">
        <v>901067419</v>
      </c>
      <c r="H149" s="1" t="s">
        <v>148</v>
      </c>
      <c r="I149" s="1" t="s">
        <v>289</v>
      </c>
      <c r="J149" s="1" t="s">
        <v>23</v>
      </c>
      <c r="K149" s="2">
        <v>7000000</v>
      </c>
      <c r="L149" s="1" t="s">
        <v>25</v>
      </c>
      <c r="M149" s="2">
        <v>38500</v>
      </c>
      <c r="N149" s="2" t="s">
        <v>26</v>
      </c>
      <c r="O149" s="2">
        <v>10649156.15</v>
      </c>
      <c r="P149" s="1" t="s">
        <v>150</v>
      </c>
    </row>
    <row r="150" spans="1:16" outlineLevel="2">
      <c r="A150" s="1" t="s">
        <v>285</v>
      </c>
      <c r="B150" s="1" t="s">
        <v>286</v>
      </c>
      <c r="C150" s="1" t="s">
        <v>287</v>
      </c>
      <c r="D150" s="2">
        <v>10504698.08</v>
      </c>
      <c r="E150" s="1" t="s">
        <v>296</v>
      </c>
      <c r="F150" s="3">
        <v>46224</v>
      </c>
      <c r="G150" s="4">
        <v>901069576</v>
      </c>
      <c r="H150" s="1" t="s">
        <v>152</v>
      </c>
      <c r="I150" s="1" t="s">
        <v>289</v>
      </c>
      <c r="J150" s="1" t="s">
        <v>23</v>
      </c>
      <c r="K150" s="2">
        <v>3000000</v>
      </c>
      <c r="L150" s="1" t="s">
        <v>25</v>
      </c>
      <c r="M150" s="2">
        <v>16500</v>
      </c>
      <c r="N150" s="2" t="s">
        <v>26</v>
      </c>
      <c r="O150" s="2">
        <v>10665656.15</v>
      </c>
      <c r="P150" s="1" t="s">
        <v>155</v>
      </c>
    </row>
    <row r="151" spans="1:16" outlineLevel="2">
      <c r="A151" s="1" t="s">
        <v>285</v>
      </c>
      <c r="B151" s="1" t="s">
        <v>286</v>
      </c>
      <c r="C151" s="1" t="s">
        <v>287</v>
      </c>
      <c r="D151" s="2">
        <v>10504698.08</v>
      </c>
      <c r="E151" s="1" t="s">
        <v>297</v>
      </c>
      <c r="F151" s="3">
        <v>46227</v>
      </c>
      <c r="G151" s="4">
        <v>901226733</v>
      </c>
      <c r="H151" s="1" t="s">
        <v>163</v>
      </c>
      <c r="I151" s="1" t="s">
        <v>289</v>
      </c>
      <c r="J151" s="1" t="s">
        <v>23</v>
      </c>
      <c r="K151" s="2">
        <v>8983084</v>
      </c>
      <c r="L151" s="1" t="s">
        <v>25</v>
      </c>
      <c r="M151" s="2">
        <v>49406.96</v>
      </c>
      <c r="N151" s="2" t="s">
        <v>26</v>
      </c>
      <c r="O151" s="2">
        <v>10715063.109999999</v>
      </c>
      <c r="P151" s="1" t="s">
        <v>165</v>
      </c>
    </row>
    <row r="152" spans="1:16" outlineLevel="2">
      <c r="A152" s="1" t="s">
        <v>285</v>
      </c>
      <c r="B152" s="1" t="s">
        <v>286</v>
      </c>
      <c r="C152" s="1" t="s">
        <v>287</v>
      </c>
      <c r="D152" s="2">
        <v>10504698.08</v>
      </c>
      <c r="E152" s="1" t="s">
        <v>298</v>
      </c>
      <c r="F152" s="3">
        <v>46227</v>
      </c>
      <c r="G152" s="4">
        <v>830060331</v>
      </c>
      <c r="H152" s="1" t="s">
        <v>124</v>
      </c>
      <c r="I152" s="1" t="s">
        <v>289</v>
      </c>
      <c r="J152" s="1" t="s">
        <v>23</v>
      </c>
      <c r="K152" s="2">
        <v>4674582.42</v>
      </c>
      <c r="L152" s="1" t="s">
        <v>25</v>
      </c>
      <c r="M152" s="2">
        <v>25710.2</v>
      </c>
      <c r="N152" s="2" t="s">
        <v>26</v>
      </c>
      <c r="O152" s="2">
        <v>10740773.310000001</v>
      </c>
      <c r="P152" s="1" t="s">
        <v>168</v>
      </c>
    </row>
    <row r="153" spans="1:16" outlineLevel="2">
      <c r="A153" s="1" t="s">
        <v>285</v>
      </c>
      <c r="B153" s="1" t="s">
        <v>286</v>
      </c>
      <c r="C153" s="1" t="s">
        <v>287</v>
      </c>
      <c r="D153" s="2">
        <v>10504698.08</v>
      </c>
      <c r="E153" s="1" t="s">
        <v>299</v>
      </c>
      <c r="F153" s="3">
        <v>46227</v>
      </c>
      <c r="G153" s="4">
        <v>890106697</v>
      </c>
      <c r="H153" s="1" t="s">
        <v>132</v>
      </c>
      <c r="I153" s="1" t="s">
        <v>289</v>
      </c>
      <c r="J153" s="1" t="s">
        <v>23</v>
      </c>
      <c r="K153" s="2">
        <v>869073</v>
      </c>
      <c r="L153" s="1" t="s">
        <v>25</v>
      </c>
      <c r="M153" s="2">
        <v>4779.8999999999996</v>
      </c>
      <c r="N153" s="2" t="s">
        <v>26</v>
      </c>
      <c r="O153" s="2">
        <v>10745553.210000001</v>
      </c>
      <c r="P153" s="1" t="s">
        <v>171</v>
      </c>
    </row>
    <row r="154" spans="1:16" outlineLevel="2">
      <c r="A154" s="1" t="s">
        <v>285</v>
      </c>
      <c r="B154" s="1" t="s">
        <v>286</v>
      </c>
      <c r="C154" s="1" t="s">
        <v>287</v>
      </c>
      <c r="D154" s="2">
        <v>10504698.08</v>
      </c>
      <c r="E154" s="1" t="s">
        <v>300</v>
      </c>
      <c r="F154" s="3">
        <v>46230</v>
      </c>
      <c r="G154" s="4">
        <v>900268901</v>
      </c>
      <c r="H154" s="1" t="s">
        <v>189</v>
      </c>
      <c r="I154" s="1" t="s">
        <v>289</v>
      </c>
      <c r="J154" s="1" t="s">
        <v>23</v>
      </c>
      <c r="K154" s="2">
        <v>12374471</v>
      </c>
      <c r="L154" s="1" t="s">
        <v>25</v>
      </c>
      <c r="M154" s="2">
        <v>68059.59</v>
      </c>
      <c r="N154" s="2" t="s">
        <v>26</v>
      </c>
      <c r="O154" s="2">
        <v>10813612.800000001</v>
      </c>
      <c r="P154" s="1" t="s">
        <v>192</v>
      </c>
    </row>
    <row r="155" spans="1:16" outlineLevel="1">
      <c r="A155" s="13" t="s">
        <v>1369</v>
      </c>
      <c r="M155" s="2">
        <f>SUBTOTAL(9,M143:M154)</f>
        <v>308914.71999999997</v>
      </c>
      <c r="N155" s="2">
        <f>SUBTOTAL(9,N143:N154)</f>
        <v>0</v>
      </c>
    </row>
    <row r="156" spans="1:16" outlineLevel="2">
      <c r="A156" s="1" t="s">
        <v>301</v>
      </c>
      <c r="B156" s="1" t="s">
        <v>302</v>
      </c>
      <c r="C156" s="1" t="s">
        <v>303</v>
      </c>
      <c r="D156" s="2">
        <v>20949000</v>
      </c>
      <c r="E156" s="1" t="s">
        <v>18</v>
      </c>
      <c r="F156" s="3" t="s">
        <v>19</v>
      </c>
      <c r="G156" s="4" t="s">
        <v>20</v>
      </c>
      <c r="H156" s="1" t="s">
        <v>21</v>
      </c>
      <c r="I156" s="1" t="s">
        <v>22</v>
      </c>
      <c r="J156" s="1" t="s">
        <v>23</v>
      </c>
      <c r="K156" s="2" t="s">
        <v>24</v>
      </c>
      <c r="L156" s="1" t="s">
        <v>25</v>
      </c>
      <c r="M156" s="2" t="s">
        <v>26</v>
      </c>
      <c r="N156" s="2" t="s">
        <v>26</v>
      </c>
      <c r="O156" s="2">
        <v>20949000</v>
      </c>
      <c r="P156" s="1" t="s">
        <v>27</v>
      </c>
    </row>
    <row r="157" spans="1:16" outlineLevel="1">
      <c r="A157" s="13" t="s">
        <v>1370</v>
      </c>
      <c r="M157" s="2">
        <f>SUBTOTAL(9,M156:M156)</f>
        <v>0</v>
      </c>
      <c r="N157" s="2">
        <f>SUBTOTAL(9,N156:N156)</f>
        <v>0</v>
      </c>
    </row>
    <row r="158" spans="1:16" outlineLevel="2">
      <c r="A158" s="1" t="s">
        <v>304</v>
      </c>
      <c r="B158" s="1" t="s">
        <v>305</v>
      </c>
      <c r="C158" s="1" t="s">
        <v>306</v>
      </c>
      <c r="D158" s="2">
        <v>-8389465.5099999998</v>
      </c>
      <c r="E158" s="1" t="s">
        <v>18</v>
      </c>
      <c r="F158" s="3" t="s">
        <v>19</v>
      </c>
      <c r="G158" s="4" t="s">
        <v>20</v>
      </c>
      <c r="H158" s="1" t="s">
        <v>21</v>
      </c>
      <c r="I158" s="1" t="s">
        <v>22</v>
      </c>
      <c r="J158" s="1" t="s">
        <v>23</v>
      </c>
      <c r="K158" s="2" t="s">
        <v>24</v>
      </c>
      <c r="L158" s="1" t="s">
        <v>25</v>
      </c>
      <c r="M158" s="2" t="s">
        <v>26</v>
      </c>
      <c r="N158" s="2" t="s">
        <v>26</v>
      </c>
      <c r="O158" s="2">
        <v>-8389465.5099999998</v>
      </c>
      <c r="P158" s="1" t="s">
        <v>27</v>
      </c>
    </row>
    <row r="159" spans="1:16" outlineLevel="1">
      <c r="A159" s="13" t="s">
        <v>1371</v>
      </c>
      <c r="M159" s="2">
        <f>SUBTOTAL(9,M158:M158)</f>
        <v>0</v>
      </c>
      <c r="N159" s="2">
        <f>SUBTOTAL(9,N158:N158)</f>
        <v>0</v>
      </c>
    </row>
    <row r="160" spans="1:16" outlineLevel="2">
      <c r="A160" s="1" t="s">
        <v>307</v>
      </c>
      <c r="B160" s="1" t="s">
        <v>308</v>
      </c>
      <c r="C160" s="1" t="s">
        <v>309</v>
      </c>
      <c r="D160" s="2">
        <v>100000</v>
      </c>
      <c r="E160" s="1" t="s">
        <v>18</v>
      </c>
      <c r="F160" s="3" t="s">
        <v>19</v>
      </c>
      <c r="G160" s="4" t="s">
        <v>20</v>
      </c>
      <c r="H160" s="1" t="s">
        <v>21</v>
      </c>
      <c r="I160" s="1" t="s">
        <v>22</v>
      </c>
      <c r="J160" s="1" t="s">
        <v>23</v>
      </c>
      <c r="K160" s="2" t="s">
        <v>24</v>
      </c>
      <c r="L160" s="1" t="s">
        <v>25</v>
      </c>
      <c r="M160" s="2" t="s">
        <v>26</v>
      </c>
      <c r="N160" s="2" t="s">
        <v>26</v>
      </c>
      <c r="O160" s="2">
        <v>100000</v>
      </c>
      <c r="P160" s="1" t="s">
        <v>27</v>
      </c>
    </row>
    <row r="161" spans="1:16" outlineLevel="1">
      <c r="A161" s="13" t="s">
        <v>1372</v>
      </c>
      <c r="M161" s="2">
        <f>SUBTOTAL(9,M160:M160)</f>
        <v>0</v>
      </c>
      <c r="N161" s="2">
        <f>SUBTOTAL(9,N160:N160)</f>
        <v>0</v>
      </c>
    </row>
    <row r="162" spans="1:16" outlineLevel="2">
      <c r="A162" s="1" t="s">
        <v>310</v>
      </c>
      <c r="B162" s="1" t="s">
        <v>311</v>
      </c>
      <c r="C162" s="1" t="s">
        <v>312</v>
      </c>
      <c r="D162" s="2">
        <v>413325</v>
      </c>
      <c r="E162" s="1" t="s">
        <v>18</v>
      </c>
      <c r="F162" s="3" t="s">
        <v>19</v>
      </c>
      <c r="G162" s="4" t="s">
        <v>20</v>
      </c>
      <c r="H162" s="1" t="s">
        <v>21</v>
      </c>
      <c r="I162" s="1" t="s">
        <v>22</v>
      </c>
      <c r="J162" s="1" t="s">
        <v>23</v>
      </c>
      <c r="K162" s="2" t="s">
        <v>24</v>
      </c>
      <c r="L162" s="1" t="s">
        <v>25</v>
      </c>
      <c r="M162" s="2" t="s">
        <v>26</v>
      </c>
      <c r="N162" s="2" t="s">
        <v>26</v>
      </c>
      <c r="O162" s="2">
        <v>413325</v>
      </c>
      <c r="P162" s="1" t="s">
        <v>27</v>
      </c>
    </row>
    <row r="163" spans="1:16" outlineLevel="1">
      <c r="A163" s="13" t="s">
        <v>1373</v>
      </c>
      <c r="M163" s="2">
        <f>SUBTOTAL(9,M162:M162)</f>
        <v>0</v>
      </c>
      <c r="N163" s="2">
        <f>SUBTOTAL(9,N162:N162)</f>
        <v>0</v>
      </c>
    </row>
    <row r="164" spans="1:16" outlineLevel="2">
      <c r="A164" s="1" t="s">
        <v>313</v>
      </c>
      <c r="B164" s="1" t="s">
        <v>314</v>
      </c>
      <c r="C164" s="1" t="s">
        <v>315</v>
      </c>
      <c r="D164" s="2">
        <v>955034461</v>
      </c>
      <c r="E164" s="1" t="s">
        <v>18</v>
      </c>
      <c r="F164" s="3" t="s">
        <v>19</v>
      </c>
      <c r="G164" s="4" t="s">
        <v>20</v>
      </c>
      <c r="H164" s="1" t="s">
        <v>21</v>
      </c>
      <c r="I164" s="1" t="s">
        <v>22</v>
      </c>
      <c r="J164" s="1" t="s">
        <v>23</v>
      </c>
      <c r="K164" s="2" t="s">
        <v>24</v>
      </c>
      <c r="L164" s="1" t="s">
        <v>25</v>
      </c>
      <c r="M164" s="2" t="s">
        <v>26</v>
      </c>
      <c r="N164" s="2" t="s">
        <v>26</v>
      </c>
      <c r="O164" s="2">
        <v>955034461</v>
      </c>
      <c r="P164" s="1" t="s">
        <v>27</v>
      </c>
    </row>
    <row r="165" spans="1:16" outlineLevel="1">
      <c r="A165" s="13" t="s">
        <v>1374</v>
      </c>
      <c r="M165" s="2">
        <f>SUBTOTAL(9,M164:M164)</f>
        <v>0</v>
      </c>
      <c r="N165" s="2">
        <f>SUBTOTAL(9,N164:N164)</f>
        <v>0</v>
      </c>
    </row>
    <row r="166" spans="1:16" outlineLevel="2">
      <c r="A166" s="1" t="s">
        <v>316</v>
      </c>
      <c r="B166" s="1" t="s">
        <v>317</v>
      </c>
      <c r="C166" s="1" t="s">
        <v>318</v>
      </c>
      <c r="D166" s="2">
        <v>-775938628</v>
      </c>
      <c r="E166" s="1" t="s">
        <v>18</v>
      </c>
      <c r="F166" s="3" t="s">
        <v>19</v>
      </c>
      <c r="G166" s="4" t="s">
        <v>20</v>
      </c>
      <c r="H166" s="1" t="s">
        <v>21</v>
      </c>
      <c r="I166" s="1" t="s">
        <v>22</v>
      </c>
      <c r="J166" s="1" t="s">
        <v>23</v>
      </c>
      <c r="K166" s="2" t="s">
        <v>24</v>
      </c>
      <c r="L166" s="1" t="s">
        <v>25</v>
      </c>
      <c r="M166" s="2" t="s">
        <v>26</v>
      </c>
      <c r="N166" s="2" t="s">
        <v>26</v>
      </c>
      <c r="O166" s="2">
        <v>-775938628</v>
      </c>
      <c r="P166" s="1" t="s">
        <v>27</v>
      </c>
    </row>
    <row r="167" spans="1:16" outlineLevel="1">
      <c r="A167" s="13" t="s">
        <v>1375</v>
      </c>
      <c r="M167" s="2">
        <f>SUBTOTAL(9,M166:M166)</f>
        <v>0</v>
      </c>
      <c r="N167" s="2">
        <f>SUBTOTAL(9,N166:N166)</f>
        <v>0</v>
      </c>
    </row>
    <row r="168" spans="1:16" outlineLevel="2">
      <c r="A168" s="1" t="s">
        <v>319</v>
      </c>
      <c r="B168" s="1" t="s">
        <v>320</v>
      </c>
      <c r="C168" s="1" t="s">
        <v>321</v>
      </c>
      <c r="D168" s="2">
        <v>-1103052397.4000001</v>
      </c>
      <c r="E168" s="1" t="s">
        <v>18</v>
      </c>
      <c r="F168" s="3" t="s">
        <v>19</v>
      </c>
      <c r="G168" s="4" t="s">
        <v>20</v>
      </c>
      <c r="H168" s="1" t="s">
        <v>21</v>
      </c>
      <c r="I168" s="1" t="s">
        <v>22</v>
      </c>
      <c r="J168" s="1" t="s">
        <v>23</v>
      </c>
      <c r="K168" s="2" t="s">
        <v>24</v>
      </c>
      <c r="L168" s="1" t="s">
        <v>25</v>
      </c>
      <c r="M168" s="2" t="s">
        <v>26</v>
      </c>
      <c r="N168" s="2" t="s">
        <v>26</v>
      </c>
      <c r="O168" s="2">
        <v>-1103052397.4000001</v>
      </c>
      <c r="P168" s="1" t="s">
        <v>27</v>
      </c>
    </row>
    <row r="169" spans="1:16" outlineLevel="1">
      <c r="A169" s="13" t="s">
        <v>1376</v>
      </c>
      <c r="M169" s="2">
        <f>SUBTOTAL(9,M168:M168)</f>
        <v>0</v>
      </c>
      <c r="N169" s="2">
        <f>SUBTOTAL(9,N168:N168)</f>
        <v>0</v>
      </c>
    </row>
    <row r="170" spans="1:16" outlineLevel="2">
      <c r="A170" s="1" t="s">
        <v>322</v>
      </c>
      <c r="B170" s="1" t="s">
        <v>323</v>
      </c>
      <c r="C170" s="1" t="s">
        <v>324</v>
      </c>
      <c r="D170" s="2">
        <v>237784998</v>
      </c>
      <c r="E170" s="1" t="s">
        <v>18</v>
      </c>
      <c r="F170" s="3" t="s">
        <v>19</v>
      </c>
      <c r="G170" s="4" t="s">
        <v>20</v>
      </c>
      <c r="H170" s="1" t="s">
        <v>21</v>
      </c>
      <c r="I170" s="1" t="s">
        <v>22</v>
      </c>
      <c r="J170" s="1" t="s">
        <v>23</v>
      </c>
      <c r="K170" s="2" t="s">
        <v>24</v>
      </c>
      <c r="L170" s="1" t="s">
        <v>25</v>
      </c>
      <c r="M170" s="2" t="s">
        <v>26</v>
      </c>
      <c r="N170" s="2" t="s">
        <v>26</v>
      </c>
      <c r="O170" s="2">
        <v>237784998</v>
      </c>
      <c r="P170" s="1" t="s">
        <v>27</v>
      </c>
    </row>
    <row r="171" spans="1:16" outlineLevel="1">
      <c r="A171" s="13" t="s">
        <v>1377</v>
      </c>
      <c r="M171" s="2">
        <f>SUBTOTAL(9,M170:M170)</f>
        <v>0</v>
      </c>
      <c r="N171" s="2">
        <f>SUBTOTAL(9,N170:N170)</f>
        <v>0</v>
      </c>
    </row>
    <row r="172" spans="1:16" outlineLevel="2">
      <c r="A172" s="1" t="s">
        <v>325</v>
      </c>
      <c r="B172" s="1" t="s">
        <v>326</v>
      </c>
      <c r="C172" s="1" t="s">
        <v>327</v>
      </c>
      <c r="D172" s="2">
        <v>-139624672</v>
      </c>
      <c r="E172" s="1" t="s">
        <v>18</v>
      </c>
      <c r="F172" s="3" t="s">
        <v>19</v>
      </c>
      <c r="G172" s="4" t="s">
        <v>20</v>
      </c>
      <c r="H172" s="1" t="s">
        <v>21</v>
      </c>
      <c r="I172" s="1" t="s">
        <v>22</v>
      </c>
      <c r="J172" s="1" t="s">
        <v>23</v>
      </c>
      <c r="K172" s="2" t="s">
        <v>24</v>
      </c>
      <c r="L172" s="1" t="s">
        <v>25</v>
      </c>
      <c r="M172" s="2" t="s">
        <v>26</v>
      </c>
      <c r="N172" s="2" t="s">
        <v>26</v>
      </c>
      <c r="O172" s="2">
        <v>-139624672</v>
      </c>
      <c r="P172" s="1" t="s">
        <v>27</v>
      </c>
    </row>
    <row r="173" spans="1:16" outlineLevel="1">
      <c r="A173" s="13" t="s">
        <v>1378</v>
      </c>
      <c r="M173" s="2">
        <f>SUBTOTAL(9,M172:M172)</f>
        <v>0</v>
      </c>
      <c r="N173" s="2">
        <f>SUBTOTAL(9,N172:N172)</f>
        <v>0</v>
      </c>
    </row>
    <row r="174" spans="1:16" outlineLevel="2">
      <c r="A174" s="1" t="s">
        <v>328</v>
      </c>
      <c r="B174" s="1" t="s">
        <v>329</v>
      </c>
      <c r="C174" s="1" t="s">
        <v>330</v>
      </c>
      <c r="D174" s="2">
        <v>311800403</v>
      </c>
      <c r="E174" s="1" t="s">
        <v>18</v>
      </c>
      <c r="F174" s="3" t="s">
        <v>19</v>
      </c>
      <c r="G174" s="4" t="s">
        <v>20</v>
      </c>
      <c r="H174" s="1" t="s">
        <v>21</v>
      </c>
      <c r="I174" s="1" t="s">
        <v>22</v>
      </c>
      <c r="J174" s="1" t="s">
        <v>23</v>
      </c>
      <c r="K174" s="2" t="s">
        <v>24</v>
      </c>
      <c r="L174" s="1" t="s">
        <v>25</v>
      </c>
      <c r="M174" s="2" t="s">
        <v>26</v>
      </c>
      <c r="N174" s="2" t="s">
        <v>26</v>
      </c>
      <c r="O174" s="2">
        <v>311800403</v>
      </c>
      <c r="P174" s="1" t="s">
        <v>27</v>
      </c>
    </row>
    <row r="175" spans="1:16" outlineLevel="1">
      <c r="A175" s="13" t="s">
        <v>1379</v>
      </c>
      <c r="M175" s="2">
        <f>SUBTOTAL(9,M174:M174)</f>
        <v>0</v>
      </c>
      <c r="N175" s="2">
        <f>SUBTOTAL(9,N174:N174)</f>
        <v>0</v>
      </c>
    </row>
    <row r="176" spans="1:16" outlineLevel="2">
      <c r="A176" s="1" t="s">
        <v>331</v>
      </c>
      <c r="B176" s="1" t="s">
        <v>332</v>
      </c>
      <c r="C176" s="1" t="s">
        <v>113</v>
      </c>
      <c r="D176" s="2">
        <v>-406608</v>
      </c>
      <c r="E176" s="1" t="s">
        <v>18</v>
      </c>
      <c r="F176" s="3" t="s">
        <v>19</v>
      </c>
      <c r="G176" s="4" t="s">
        <v>20</v>
      </c>
      <c r="H176" s="1" t="s">
        <v>21</v>
      </c>
      <c r="I176" s="1" t="s">
        <v>22</v>
      </c>
      <c r="J176" s="1" t="s">
        <v>23</v>
      </c>
      <c r="K176" s="2" t="s">
        <v>24</v>
      </c>
      <c r="L176" s="1" t="s">
        <v>25</v>
      </c>
      <c r="M176" s="2" t="s">
        <v>26</v>
      </c>
      <c r="N176" s="2" t="s">
        <v>26</v>
      </c>
      <c r="O176" s="2">
        <v>-406608</v>
      </c>
      <c r="P176" s="1" t="s">
        <v>27</v>
      </c>
    </row>
    <row r="177" spans="1:16" outlineLevel="1">
      <c r="A177" s="13" t="s">
        <v>1380</v>
      </c>
      <c r="M177" s="2">
        <f>SUBTOTAL(9,M176:M176)</f>
        <v>0</v>
      </c>
      <c r="N177" s="2">
        <f>SUBTOTAL(9,N176:N176)</f>
        <v>0</v>
      </c>
    </row>
    <row r="178" spans="1:16" outlineLevel="2">
      <c r="A178" s="1" t="s">
        <v>333</v>
      </c>
      <c r="B178" s="1" t="s">
        <v>334</v>
      </c>
      <c r="C178" s="1" t="s">
        <v>335</v>
      </c>
      <c r="D178" s="2">
        <v>-2420642954.6799998</v>
      </c>
      <c r="E178" s="1" t="s">
        <v>336</v>
      </c>
      <c r="F178" s="3">
        <v>46204</v>
      </c>
      <c r="G178" s="4">
        <v>8799534</v>
      </c>
      <c r="H178" s="1" t="s">
        <v>337</v>
      </c>
      <c r="I178" s="1" t="s">
        <v>338</v>
      </c>
      <c r="J178" s="1" t="s">
        <v>339</v>
      </c>
      <c r="K178" s="2" t="s">
        <v>24</v>
      </c>
      <c r="L178" s="1" t="s">
        <v>25</v>
      </c>
      <c r="M178" s="2">
        <v>1750000</v>
      </c>
      <c r="N178" s="2" t="s">
        <v>26</v>
      </c>
      <c r="O178" s="2">
        <v>-2418892954.6799998</v>
      </c>
      <c r="P178" s="1" t="s">
        <v>27</v>
      </c>
    </row>
    <row r="179" spans="1:16" outlineLevel="2">
      <c r="A179" s="1" t="s">
        <v>333</v>
      </c>
      <c r="B179" s="1" t="s">
        <v>334</v>
      </c>
      <c r="C179" s="1" t="s">
        <v>335</v>
      </c>
      <c r="D179" s="2">
        <v>-2420642954.6799998</v>
      </c>
      <c r="E179" s="1" t="s">
        <v>340</v>
      </c>
      <c r="F179" s="3">
        <v>46204</v>
      </c>
      <c r="G179" s="4">
        <v>8799534</v>
      </c>
      <c r="H179" s="1" t="s">
        <v>337</v>
      </c>
      <c r="I179" s="1" t="s">
        <v>50</v>
      </c>
      <c r="J179" s="1" t="s">
        <v>341</v>
      </c>
      <c r="K179" s="2" t="s">
        <v>24</v>
      </c>
      <c r="L179" s="1" t="s">
        <v>25</v>
      </c>
      <c r="M179" s="2" t="s">
        <v>26</v>
      </c>
      <c r="N179" s="2">
        <v>1623125</v>
      </c>
      <c r="O179" s="2">
        <v>-2420516079.6799998</v>
      </c>
      <c r="P179" s="1" t="s">
        <v>27</v>
      </c>
    </row>
    <row r="180" spans="1:16" outlineLevel="2">
      <c r="A180" s="1" t="s">
        <v>333</v>
      </c>
      <c r="B180" s="1" t="s">
        <v>334</v>
      </c>
      <c r="C180" s="1" t="s">
        <v>335</v>
      </c>
      <c r="D180" s="2">
        <v>-2420642954.6799998</v>
      </c>
      <c r="E180" s="1" t="s">
        <v>342</v>
      </c>
      <c r="F180" s="3">
        <v>46204</v>
      </c>
      <c r="G180" s="4">
        <v>8799534</v>
      </c>
      <c r="H180" s="1" t="s">
        <v>337</v>
      </c>
      <c r="I180" s="1" t="s">
        <v>50</v>
      </c>
      <c r="J180" s="1" t="s">
        <v>339</v>
      </c>
      <c r="K180" s="2" t="s">
        <v>24</v>
      </c>
      <c r="L180" s="1" t="s">
        <v>25</v>
      </c>
      <c r="M180" s="2" t="s">
        <v>26</v>
      </c>
      <c r="N180" s="2">
        <v>1750000</v>
      </c>
      <c r="O180" s="2">
        <v>-2422266079.6799998</v>
      </c>
      <c r="P180" s="1" t="s">
        <v>27</v>
      </c>
    </row>
    <row r="181" spans="1:16" outlineLevel="2">
      <c r="A181" s="1" t="s">
        <v>333</v>
      </c>
      <c r="B181" s="1" t="s">
        <v>334</v>
      </c>
      <c r="C181" s="1" t="s">
        <v>335</v>
      </c>
      <c r="D181" s="2">
        <v>-2420642954.6799998</v>
      </c>
      <c r="E181" s="1" t="s">
        <v>343</v>
      </c>
      <c r="F181" s="3">
        <v>46205</v>
      </c>
      <c r="G181" s="4">
        <v>802013446</v>
      </c>
      <c r="H181" s="1" t="s">
        <v>200</v>
      </c>
      <c r="I181" s="1" t="s">
        <v>344</v>
      </c>
      <c r="J181" s="1" t="s">
        <v>345</v>
      </c>
      <c r="K181" s="2" t="s">
        <v>24</v>
      </c>
      <c r="L181" s="1" t="s">
        <v>25</v>
      </c>
      <c r="M181" s="2" t="s">
        <v>26</v>
      </c>
      <c r="N181" s="2">
        <v>3402656.5</v>
      </c>
      <c r="O181" s="2">
        <v>-2425668736.1799998</v>
      </c>
      <c r="P181" s="1" t="s">
        <v>27</v>
      </c>
    </row>
    <row r="182" spans="1:16" outlineLevel="2">
      <c r="A182" s="1" t="s">
        <v>333</v>
      </c>
      <c r="B182" s="1" t="s">
        <v>334</v>
      </c>
      <c r="C182" s="1" t="s">
        <v>335</v>
      </c>
      <c r="D182" s="2">
        <v>-2420642954.6799998</v>
      </c>
      <c r="E182" s="1" t="s">
        <v>346</v>
      </c>
      <c r="F182" s="3">
        <v>46208</v>
      </c>
      <c r="G182" s="4">
        <v>817001892</v>
      </c>
      <c r="H182" s="1" t="s">
        <v>347</v>
      </c>
      <c r="I182" s="1" t="s">
        <v>61</v>
      </c>
      <c r="J182" s="1" t="s">
        <v>348</v>
      </c>
      <c r="K182" s="2" t="s">
        <v>24</v>
      </c>
      <c r="L182" s="1" t="s">
        <v>25</v>
      </c>
      <c r="M182" s="2" t="s">
        <v>26</v>
      </c>
      <c r="N182" s="2">
        <v>4118790</v>
      </c>
      <c r="O182" s="2">
        <v>-2429787526.1799998</v>
      </c>
      <c r="P182" s="1" t="s">
        <v>27</v>
      </c>
    </row>
    <row r="183" spans="1:16" outlineLevel="2">
      <c r="A183" s="1" t="s">
        <v>333</v>
      </c>
      <c r="B183" s="1" t="s">
        <v>334</v>
      </c>
      <c r="C183" s="1" t="s">
        <v>335</v>
      </c>
      <c r="D183" s="2">
        <v>-2420642954.6799998</v>
      </c>
      <c r="E183" s="1" t="s">
        <v>349</v>
      </c>
      <c r="F183" s="3">
        <v>46210</v>
      </c>
      <c r="G183" s="4">
        <v>8799534</v>
      </c>
      <c r="H183" s="1" t="s">
        <v>337</v>
      </c>
      <c r="I183" s="1" t="s">
        <v>350</v>
      </c>
      <c r="J183" s="1" t="s">
        <v>341</v>
      </c>
      <c r="K183" s="2" t="s">
        <v>24</v>
      </c>
      <c r="L183" s="1" t="s">
        <v>25</v>
      </c>
      <c r="M183" s="2">
        <v>1623125</v>
      </c>
      <c r="N183" s="2" t="s">
        <v>26</v>
      </c>
      <c r="O183" s="2">
        <v>-2428164401.1799998</v>
      </c>
      <c r="P183" s="1" t="s">
        <v>27</v>
      </c>
    </row>
    <row r="184" spans="1:16" outlineLevel="2">
      <c r="A184" s="1" t="s">
        <v>333</v>
      </c>
      <c r="B184" s="1" t="s">
        <v>334</v>
      </c>
      <c r="C184" s="1" t="s">
        <v>335</v>
      </c>
      <c r="D184" s="2">
        <v>-2420642954.6799998</v>
      </c>
      <c r="E184" s="1" t="s">
        <v>351</v>
      </c>
      <c r="F184" s="3">
        <v>46210</v>
      </c>
      <c r="G184" s="4">
        <v>8738279</v>
      </c>
      <c r="H184" s="1" t="s">
        <v>352</v>
      </c>
      <c r="I184" s="1" t="s">
        <v>353</v>
      </c>
      <c r="J184" s="1" t="s">
        <v>354</v>
      </c>
      <c r="K184" s="2" t="s">
        <v>24</v>
      </c>
      <c r="L184" s="1" t="s">
        <v>25</v>
      </c>
      <c r="M184" s="2">
        <v>4737500</v>
      </c>
      <c r="N184" s="2" t="s">
        <v>26</v>
      </c>
      <c r="O184" s="2">
        <v>-2423426901.1799998</v>
      </c>
      <c r="P184" s="1" t="s">
        <v>27</v>
      </c>
    </row>
    <row r="185" spans="1:16" outlineLevel="2">
      <c r="A185" s="1" t="s">
        <v>333</v>
      </c>
      <c r="B185" s="1" t="s">
        <v>334</v>
      </c>
      <c r="C185" s="1" t="s">
        <v>335</v>
      </c>
      <c r="D185" s="2">
        <v>-2420642954.6799998</v>
      </c>
      <c r="E185" s="1" t="s">
        <v>355</v>
      </c>
      <c r="F185" s="3">
        <v>46210</v>
      </c>
      <c r="G185" s="4">
        <v>8738279</v>
      </c>
      <c r="H185" s="1" t="s">
        <v>352</v>
      </c>
      <c r="I185" s="1" t="s">
        <v>356</v>
      </c>
      <c r="J185" s="1" t="s">
        <v>357</v>
      </c>
      <c r="K185" s="2" t="s">
        <v>24</v>
      </c>
      <c r="L185" s="1" t="s">
        <v>25</v>
      </c>
      <c r="M185" s="2">
        <v>5000000</v>
      </c>
      <c r="N185" s="2" t="s">
        <v>26</v>
      </c>
      <c r="O185" s="2">
        <v>-2418426901.1799998</v>
      </c>
      <c r="P185" s="1" t="s">
        <v>27</v>
      </c>
    </row>
    <row r="186" spans="1:16" outlineLevel="2">
      <c r="A186" s="1" t="s">
        <v>333</v>
      </c>
      <c r="B186" s="1" t="s">
        <v>334</v>
      </c>
      <c r="C186" s="1" t="s">
        <v>335</v>
      </c>
      <c r="D186" s="2">
        <v>-2420642954.6799998</v>
      </c>
      <c r="E186" s="1" t="s">
        <v>358</v>
      </c>
      <c r="F186" s="3">
        <v>46210</v>
      </c>
      <c r="G186" s="4">
        <v>8738279</v>
      </c>
      <c r="H186" s="1" t="s">
        <v>352</v>
      </c>
      <c r="I186" s="1" t="s">
        <v>52</v>
      </c>
      <c r="J186" s="1" t="s">
        <v>354</v>
      </c>
      <c r="K186" s="2" t="s">
        <v>24</v>
      </c>
      <c r="L186" s="1" t="s">
        <v>25</v>
      </c>
      <c r="M186" s="2" t="s">
        <v>26</v>
      </c>
      <c r="N186" s="2">
        <v>4737500</v>
      </c>
      <c r="O186" s="2">
        <v>-2423164401.1799998</v>
      </c>
      <c r="P186" s="1" t="s">
        <v>27</v>
      </c>
    </row>
    <row r="187" spans="1:16" outlineLevel="2">
      <c r="A187" s="1" t="s">
        <v>333</v>
      </c>
      <c r="B187" s="1" t="s">
        <v>334</v>
      </c>
      <c r="C187" s="1" t="s">
        <v>335</v>
      </c>
      <c r="D187" s="2">
        <v>-2420642954.6799998</v>
      </c>
      <c r="E187" s="1" t="s">
        <v>359</v>
      </c>
      <c r="F187" s="3">
        <v>46210</v>
      </c>
      <c r="G187" s="4">
        <v>8738279</v>
      </c>
      <c r="H187" s="1" t="s">
        <v>352</v>
      </c>
      <c r="I187" s="1" t="s">
        <v>52</v>
      </c>
      <c r="J187" s="1" t="s">
        <v>357</v>
      </c>
      <c r="K187" s="2" t="s">
        <v>24</v>
      </c>
      <c r="L187" s="1" t="s">
        <v>25</v>
      </c>
      <c r="M187" s="2" t="s">
        <v>26</v>
      </c>
      <c r="N187" s="2">
        <v>5000000</v>
      </c>
      <c r="O187" s="2">
        <v>-2428164401.1799998</v>
      </c>
      <c r="P187" s="1" t="s">
        <v>27</v>
      </c>
    </row>
    <row r="188" spans="1:16" outlineLevel="2">
      <c r="A188" s="1" t="s">
        <v>333</v>
      </c>
      <c r="B188" s="1" t="s">
        <v>334</v>
      </c>
      <c r="C188" s="1" t="s">
        <v>335</v>
      </c>
      <c r="D188" s="2">
        <v>-2420642954.6799998</v>
      </c>
      <c r="E188" s="1" t="s">
        <v>360</v>
      </c>
      <c r="F188" s="3">
        <v>46211</v>
      </c>
      <c r="G188" s="4">
        <v>72257318</v>
      </c>
      <c r="H188" s="1" t="s">
        <v>204</v>
      </c>
      <c r="I188" s="1" t="s">
        <v>43</v>
      </c>
      <c r="J188" s="1" t="s">
        <v>361</v>
      </c>
      <c r="K188" s="2" t="s">
        <v>24</v>
      </c>
      <c r="L188" s="1" t="s">
        <v>25</v>
      </c>
      <c r="M188" s="2" t="s">
        <v>26</v>
      </c>
      <c r="N188" s="2">
        <v>303510</v>
      </c>
      <c r="O188" s="2">
        <v>-2428467911.1799998</v>
      </c>
      <c r="P188" s="1" t="s">
        <v>27</v>
      </c>
    </row>
    <row r="189" spans="1:16" outlineLevel="2">
      <c r="A189" s="1" t="s">
        <v>333</v>
      </c>
      <c r="B189" s="1" t="s">
        <v>334</v>
      </c>
      <c r="C189" s="1" t="s">
        <v>335</v>
      </c>
      <c r="D189" s="2">
        <v>-2420642954.6799998</v>
      </c>
      <c r="E189" s="1" t="s">
        <v>362</v>
      </c>
      <c r="F189" s="3">
        <v>46212</v>
      </c>
      <c r="G189" s="4">
        <v>72257318</v>
      </c>
      <c r="H189" s="1" t="s">
        <v>204</v>
      </c>
      <c r="I189" s="1" t="s">
        <v>43</v>
      </c>
      <c r="J189" s="1" t="s">
        <v>363</v>
      </c>
      <c r="K189" s="2" t="s">
        <v>24</v>
      </c>
      <c r="L189" s="1" t="s">
        <v>25</v>
      </c>
      <c r="M189" s="2" t="s">
        <v>26</v>
      </c>
      <c r="N189" s="2">
        <v>400000</v>
      </c>
      <c r="O189" s="2">
        <v>-2428867911.1799998</v>
      </c>
      <c r="P189" s="1" t="s">
        <v>27</v>
      </c>
    </row>
    <row r="190" spans="1:16" outlineLevel="2">
      <c r="A190" s="1" t="s">
        <v>333</v>
      </c>
      <c r="B190" s="1" t="s">
        <v>334</v>
      </c>
      <c r="C190" s="1" t="s">
        <v>335</v>
      </c>
      <c r="D190" s="2">
        <v>-2420642954.6799998</v>
      </c>
      <c r="E190" s="1" t="s">
        <v>364</v>
      </c>
      <c r="F190" s="3">
        <v>46212</v>
      </c>
      <c r="G190" s="4">
        <v>8765600</v>
      </c>
      <c r="H190" s="1" t="s">
        <v>365</v>
      </c>
      <c r="I190" s="1" t="s">
        <v>65</v>
      </c>
      <c r="J190" s="1" t="s">
        <v>366</v>
      </c>
      <c r="K190" s="2" t="s">
        <v>24</v>
      </c>
      <c r="L190" s="1" t="s">
        <v>25</v>
      </c>
      <c r="M190" s="2" t="s">
        <v>26</v>
      </c>
      <c r="N190" s="2">
        <v>298462.5</v>
      </c>
      <c r="O190" s="2">
        <v>-2429166373.6799998</v>
      </c>
      <c r="P190" s="1" t="s">
        <v>27</v>
      </c>
    </row>
    <row r="191" spans="1:16" outlineLevel="2">
      <c r="A191" s="1" t="s">
        <v>333</v>
      </c>
      <c r="B191" s="1" t="s">
        <v>334</v>
      </c>
      <c r="C191" s="1" t="s">
        <v>335</v>
      </c>
      <c r="D191" s="2">
        <v>-2420642954.6799998</v>
      </c>
      <c r="E191" s="1" t="s">
        <v>367</v>
      </c>
      <c r="F191" s="3">
        <v>46212</v>
      </c>
      <c r="G191" s="4">
        <v>8765600</v>
      </c>
      <c r="H191" s="1" t="s">
        <v>365</v>
      </c>
      <c r="I191" s="1" t="s">
        <v>65</v>
      </c>
      <c r="J191" s="1" t="s">
        <v>368</v>
      </c>
      <c r="K191" s="2" t="s">
        <v>24</v>
      </c>
      <c r="L191" s="1" t="s">
        <v>25</v>
      </c>
      <c r="M191" s="2" t="s">
        <v>26</v>
      </c>
      <c r="N191" s="2">
        <v>105000</v>
      </c>
      <c r="O191" s="2">
        <v>-2429271373.6799998</v>
      </c>
      <c r="P191" s="1" t="s">
        <v>27</v>
      </c>
    </row>
    <row r="192" spans="1:16" outlineLevel="2">
      <c r="A192" s="1" t="s">
        <v>333</v>
      </c>
      <c r="B192" s="1" t="s">
        <v>334</v>
      </c>
      <c r="C192" s="1" t="s">
        <v>335</v>
      </c>
      <c r="D192" s="2">
        <v>-2420642954.6799998</v>
      </c>
      <c r="E192" s="1" t="s">
        <v>369</v>
      </c>
      <c r="F192" s="3">
        <v>46213</v>
      </c>
      <c r="G192" s="4">
        <v>72257318</v>
      </c>
      <c r="H192" s="1" t="s">
        <v>204</v>
      </c>
      <c r="I192" s="1" t="s">
        <v>370</v>
      </c>
      <c r="J192" s="1" t="s">
        <v>363</v>
      </c>
      <c r="K192" s="2" t="s">
        <v>24</v>
      </c>
      <c r="L192" s="1" t="s">
        <v>25</v>
      </c>
      <c r="M192" s="2">
        <v>400000</v>
      </c>
      <c r="N192" s="2" t="s">
        <v>26</v>
      </c>
      <c r="O192" s="2">
        <v>-2428871373.6799998</v>
      </c>
      <c r="P192" s="1" t="s">
        <v>27</v>
      </c>
    </row>
    <row r="193" spans="1:16" outlineLevel="2">
      <c r="A193" s="1" t="s">
        <v>333</v>
      </c>
      <c r="B193" s="1" t="s">
        <v>334</v>
      </c>
      <c r="C193" s="1" t="s">
        <v>335</v>
      </c>
      <c r="D193" s="2">
        <v>-2420642954.6799998</v>
      </c>
      <c r="E193" s="1" t="s">
        <v>371</v>
      </c>
      <c r="F193" s="3">
        <v>46213</v>
      </c>
      <c r="G193" s="4">
        <v>72311773</v>
      </c>
      <c r="H193" s="1" t="s">
        <v>208</v>
      </c>
      <c r="I193" s="1" t="s">
        <v>372</v>
      </c>
      <c r="J193" s="1" t="s">
        <v>373</v>
      </c>
      <c r="K193" s="2" t="s">
        <v>24</v>
      </c>
      <c r="L193" s="1" t="s">
        <v>25</v>
      </c>
      <c r="M193" s="2">
        <v>875300</v>
      </c>
      <c r="N193" s="2" t="s">
        <v>26</v>
      </c>
      <c r="O193" s="2">
        <v>-2427996073.6799998</v>
      </c>
      <c r="P193" s="1" t="s">
        <v>27</v>
      </c>
    </row>
    <row r="194" spans="1:16" outlineLevel="2">
      <c r="A194" s="1" t="s">
        <v>333</v>
      </c>
      <c r="B194" s="1" t="s">
        <v>334</v>
      </c>
      <c r="C194" s="1" t="s">
        <v>335</v>
      </c>
      <c r="D194" s="2">
        <v>-2420642954.6799998</v>
      </c>
      <c r="E194" s="1" t="s">
        <v>374</v>
      </c>
      <c r="F194" s="3">
        <v>46213</v>
      </c>
      <c r="G194" s="4">
        <v>817001892</v>
      </c>
      <c r="H194" s="1" t="s">
        <v>347</v>
      </c>
      <c r="I194" s="1" t="s">
        <v>375</v>
      </c>
      <c r="J194" s="1" t="s">
        <v>348</v>
      </c>
      <c r="K194" s="2" t="s">
        <v>24</v>
      </c>
      <c r="L194" s="1" t="s">
        <v>25</v>
      </c>
      <c r="M194" s="2">
        <v>4118790</v>
      </c>
      <c r="N194" s="2" t="s">
        <v>26</v>
      </c>
      <c r="O194" s="2">
        <v>-2423877283.6799998</v>
      </c>
      <c r="P194" s="1" t="s">
        <v>27</v>
      </c>
    </row>
    <row r="195" spans="1:16" outlineLevel="2">
      <c r="A195" s="1" t="s">
        <v>333</v>
      </c>
      <c r="B195" s="1" t="s">
        <v>334</v>
      </c>
      <c r="C195" s="1" t="s">
        <v>335</v>
      </c>
      <c r="D195" s="2">
        <v>-2420642954.6799998</v>
      </c>
      <c r="E195" s="1" t="s">
        <v>376</v>
      </c>
      <c r="F195" s="3">
        <v>46213</v>
      </c>
      <c r="G195" s="4">
        <v>901465587</v>
      </c>
      <c r="H195" s="1" t="s">
        <v>377</v>
      </c>
      <c r="I195" s="1" t="s">
        <v>378</v>
      </c>
      <c r="J195" s="1" t="s">
        <v>379</v>
      </c>
      <c r="K195" s="2" t="s">
        <v>24</v>
      </c>
      <c r="L195" s="1" t="s">
        <v>25</v>
      </c>
      <c r="M195" s="2" t="s">
        <v>26</v>
      </c>
      <c r="N195" s="2">
        <v>1437500</v>
      </c>
      <c r="O195" s="2">
        <v>-2425314783.6799998</v>
      </c>
      <c r="P195" s="1" t="s">
        <v>27</v>
      </c>
    </row>
    <row r="196" spans="1:16" outlineLevel="2">
      <c r="A196" s="1" t="s">
        <v>333</v>
      </c>
      <c r="B196" s="1" t="s">
        <v>334</v>
      </c>
      <c r="C196" s="1" t="s">
        <v>335</v>
      </c>
      <c r="D196" s="2">
        <v>-2420642954.6799998</v>
      </c>
      <c r="E196" s="1" t="s">
        <v>380</v>
      </c>
      <c r="F196" s="3">
        <v>46213</v>
      </c>
      <c r="G196" s="4">
        <v>72311773</v>
      </c>
      <c r="H196" s="1" t="s">
        <v>208</v>
      </c>
      <c r="I196" s="1" t="s">
        <v>209</v>
      </c>
      <c r="J196" s="1" t="s">
        <v>381</v>
      </c>
      <c r="K196" s="2" t="s">
        <v>24</v>
      </c>
      <c r="L196" s="1" t="s">
        <v>25</v>
      </c>
      <c r="M196" s="2">
        <v>1000000</v>
      </c>
      <c r="N196" s="2" t="s">
        <v>26</v>
      </c>
      <c r="O196" s="2">
        <v>-2424314783.6799998</v>
      </c>
      <c r="P196" s="1" t="s">
        <v>27</v>
      </c>
    </row>
    <row r="197" spans="1:16" outlineLevel="2">
      <c r="A197" s="1" t="s">
        <v>333</v>
      </c>
      <c r="B197" s="1" t="s">
        <v>334</v>
      </c>
      <c r="C197" s="1" t="s">
        <v>335</v>
      </c>
      <c r="D197" s="2">
        <v>-2420642954.6799998</v>
      </c>
      <c r="E197" s="1" t="s">
        <v>382</v>
      </c>
      <c r="F197" s="3">
        <v>46213</v>
      </c>
      <c r="G197" s="4">
        <v>72311773</v>
      </c>
      <c r="H197" s="1" t="s">
        <v>208</v>
      </c>
      <c r="I197" s="1" t="s">
        <v>57</v>
      </c>
      <c r="J197" s="1" t="s">
        <v>373</v>
      </c>
      <c r="K197" s="2" t="s">
        <v>24</v>
      </c>
      <c r="L197" s="1" t="s">
        <v>25</v>
      </c>
      <c r="M197" s="2" t="s">
        <v>26</v>
      </c>
      <c r="N197" s="2">
        <v>875300</v>
      </c>
      <c r="O197" s="2">
        <v>-2425190083.6799998</v>
      </c>
      <c r="P197" s="1" t="s">
        <v>27</v>
      </c>
    </row>
    <row r="198" spans="1:16" outlineLevel="2">
      <c r="A198" s="1" t="s">
        <v>333</v>
      </c>
      <c r="B198" s="1" t="s">
        <v>334</v>
      </c>
      <c r="C198" s="1" t="s">
        <v>335</v>
      </c>
      <c r="D198" s="2">
        <v>-2420642954.6799998</v>
      </c>
      <c r="E198" s="1" t="s">
        <v>383</v>
      </c>
      <c r="F198" s="3">
        <v>46213</v>
      </c>
      <c r="G198" s="4">
        <v>72311773</v>
      </c>
      <c r="H198" s="1" t="s">
        <v>208</v>
      </c>
      <c r="I198" s="1" t="s">
        <v>57</v>
      </c>
      <c r="J198" s="1" t="s">
        <v>381</v>
      </c>
      <c r="K198" s="2" t="s">
        <v>24</v>
      </c>
      <c r="L198" s="1" t="s">
        <v>25</v>
      </c>
      <c r="M198" s="2" t="s">
        <v>26</v>
      </c>
      <c r="N198" s="2">
        <v>1000000</v>
      </c>
      <c r="O198" s="2">
        <v>-2426190083.6799998</v>
      </c>
      <c r="P198" s="1" t="s">
        <v>27</v>
      </c>
    </row>
    <row r="199" spans="1:16" outlineLevel="2">
      <c r="A199" s="1" t="s">
        <v>333</v>
      </c>
      <c r="B199" s="1" t="s">
        <v>334</v>
      </c>
      <c r="C199" s="1" t="s">
        <v>335</v>
      </c>
      <c r="D199" s="2">
        <v>-2420642954.6799998</v>
      </c>
      <c r="E199" s="1" t="s">
        <v>384</v>
      </c>
      <c r="F199" s="3">
        <v>46217</v>
      </c>
      <c r="G199" s="4">
        <v>8765600</v>
      </c>
      <c r="H199" s="1" t="s">
        <v>365</v>
      </c>
      <c r="I199" s="1" t="s">
        <v>385</v>
      </c>
      <c r="J199" s="1" t="s">
        <v>368</v>
      </c>
      <c r="K199" s="2" t="s">
        <v>24</v>
      </c>
      <c r="L199" s="1" t="s">
        <v>25</v>
      </c>
      <c r="M199" s="2">
        <v>105000</v>
      </c>
      <c r="N199" s="2" t="s">
        <v>26</v>
      </c>
      <c r="O199" s="2">
        <v>-2426085083.6799998</v>
      </c>
      <c r="P199" s="1" t="s">
        <v>27</v>
      </c>
    </row>
    <row r="200" spans="1:16" outlineLevel="2">
      <c r="A200" s="1" t="s">
        <v>333</v>
      </c>
      <c r="B200" s="1" t="s">
        <v>334</v>
      </c>
      <c r="C200" s="1" t="s">
        <v>335</v>
      </c>
      <c r="D200" s="2">
        <v>-2420642954.6799998</v>
      </c>
      <c r="E200" s="1" t="s">
        <v>386</v>
      </c>
      <c r="F200" s="3">
        <v>46217</v>
      </c>
      <c r="G200" s="4">
        <v>8765600</v>
      </c>
      <c r="H200" s="1" t="s">
        <v>365</v>
      </c>
      <c r="I200" s="1" t="s">
        <v>387</v>
      </c>
      <c r="J200" s="1" t="s">
        <v>366</v>
      </c>
      <c r="K200" s="2" t="s">
        <v>24</v>
      </c>
      <c r="L200" s="1" t="s">
        <v>25</v>
      </c>
      <c r="M200" s="2">
        <v>298462.5</v>
      </c>
      <c r="N200" s="2" t="s">
        <v>26</v>
      </c>
      <c r="O200" s="2">
        <v>-2425786621.1799998</v>
      </c>
      <c r="P200" s="1" t="s">
        <v>27</v>
      </c>
    </row>
    <row r="201" spans="1:16" outlineLevel="2">
      <c r="A201" s="1" t="s">
        <v>333</v>
      </c>
      <c r="B201" s="1" t="s">
        <v>334</v>
      </c>
      <c r="C201" s="1" t="s">
        <v>335</v>
      </c>
      <c r="D201" s="2">
        <v>-2420642954.6799998</v>
      </c>
      <c r="E201" s="1" t="s">
        <v>388</v>
      </c>
      <c r="F201" s="3">
        <v>46217</v>
      </c>
      <c r="G201" s="4">
        <v>72257318</v>
      </c>
      <c r="H201" s="1" t="s">
        <v>204</v>
      </c>
      <c r="I201" s="1" t="s">
        <v>43</v>
      </c>
      <c r="J201" s="1" t="s">
        <v>389</v>
      </c>
      <c r="K201" s="2" t="s">
        <v>24</v>
      </c>
      <c r="L201" s="1" t="s">
        <v>25</v>
      </c>
      <c r="M201" s="2" t="s">
        <v>26</v>
      </c>
      <c r="N201" s="2">
        <v>400001</v>
      </c>
      <c r="O201" s="2">
        <v>-2426186622.1799998</v>
      </c>
      <c r="P201" s="1" t="s">
        <v>27</v>
      </c>
    </row>
    <row r="202" spans="1:16" outlineLevel="2">
      <c r="A202" s="1" t="s">
        <v>333</v>
      </c>
      <c r="B202" s="1" t="s">
        <v>334</v>
      </c>
      <c r="C202" s="1" t="s">
        <v>335</v>
      </c>
      <c r="D202" s="2">
        <v>-2420642954.6799998</v>
      </c>
      <c r="E202" s="1" t="s">
        <v>390</v>
      </c>
      <c r="F202" s="3">
        <v>46219</v>
      </c>
      <c r="G202" s="4">
        <v>800135913</v>
      </c>
      <c r="H202" s="1" t="s">
        <v>391</v>
      </c>
      <c r="I202" s="1" t="s">
        <v>392</v>
      </c>
      <c r="J202" s="1" t="s">
        <v>393</v>
      </c>
      <c r="K202" s="2" t="s">
        <v>24</v>
      </c>
      <c r="L202" s="1" t="s">
        <v>25</v>
      </c>
      <c r="M202" s="2">
        <v>228163</v>
      </c>
      <c r="N202" s="2" t="s">
        <v>26</v>
      </c>
      <c r="O202" s="2">
        <v>-2425958459.1799998</v>
      </c>
      <c r="P202" s="1" t="s">
        <v>27</v>
      </c>
    </row>
    <row r="203" spans="1:16" outlineLevel="2">
      <c r="A203" s="1" t="s">
        <v>333</v>
      </c>
      <c r="B203" s="1" t="s">
        <v>334</v>
      </c>
      <c r="C203" s="1" t="s">
        <v>335</v>
      </c>
      <c r="D203" s="2">
        <v>-2420642954.6799998</v>
      </c>
      <c r="E203" s="1" t="s">
        <v>394</v>
      </c>
      <c r="F203" s="3">
        <v>46219</v>
      </c>
      <c r="G203" s="4">
        <v>901296815</v>
      </c>
      <c r="H203" s="1" t="s">
        <v>395</v>
      </c>
      <c r="I203" s="1" t="s">
        <v>396</v>
      </c>
      <c r="J203" s="1" t="s">
        <v>397</v>
      </c>
      <c r="K203" s="2" t="s">
        <v>24</v>
      </c>
      <c r="L203" s="1" t="s">
        <v>25</v>
      </c>
      <c r="M203" s="2" t="s">
        <v>26</v>
      </c>
      <c r="N203" s="2">
        <v>2735339.47</v>
      </c>
      <c r="O203" s="2">
        <v>-2428693798.6500001</v>
      </c>
      <c r="P203" s="1" t="s">
        <v>27</v>
      </c>
    </row>
    <row r="204" spans="1:16" outlineLevel="2">
      <c r="A204" s="1" t="s">
        <v>333</v>
      </c>
      <c r="B204" s="1" t="s">
        <v>334</v>
      </c>
      <c r="C204" s="1" t="s">
        <v>335</v>
      </c>
      <c r="D204" s="2">
        <v>-2420642954.6799998</v>
      </c>
      <c r="E204" s="1" t="s">
        <v>398</v>
      </c>
      <c r="F204" s="3">
        <v>46219</v>
      </c>
      <c r="G204" s="4">
        <v>8794824</v>
      </c>
      <c r="H204" s="1" t="s">
        <v>399</v>
      </c>
      <c r="I204" s="1" t="s">
        <v>86</v>
      </c>
      <c r="J204" s="1" t="s">
        <v>400</v>
      </c>
      <c r="K204" s="2" t="s">
        <v>24</v>
      </c>
      <c r="L204" s="1" t="s">
        <v>25</v>
      </c>
      <c r="M204" s="2" t="s">
        <v>26</v>
      </c>
      <c r="N204" s="2">
        <v>300000</v>
      </c>
      <c r="O204" s="2">
        <v>-2428993798.6500001</v>
      </c>
      <c r="P204" s="1" t="s">
        <v>27</v>
      </c>
    </row>
    <row r="205" spans="1:16" outlineLevel="2">
      <c r="A205" s="1" t="s">
        <v>333</v>
      </c>
      <c r="B205" s="1" t="s">
        <v>334</v>
      </c>
      <c r="C205" s="1" t="s">
        <v>335</v>
      </c>
      <c r="D205" s="2">
        <v>-2420642954.6799998</v>
      </c>
      <c r="E205" s="1" t="s">
        <v>401</v>
      </c>
      <c r="F205" s="3">
        <v>46219</v>
      </c>
      <c r="G205" s="4">
        <v>8799534</v>
      </c>
      <c r="H205" s="1" t="s">
        <v>337</v>
      </c>
      <c r="I205" s="1" t="s">
        <v>402</v>
      </c>
      <c r="J205" s="1" t="s">
        <v>381</v>
      </c>
      <c r="K205" s="2" t="s">
        <v>24</v>
      </c>
      <c r="L205" s="1" t="s">
        <v>25</v>
      </c>
      <c r="M205" s="2">
        <v>1750000</v>
      </c>
      <c r="N205" s="2" t="s">
        <v>26</v>
      </c>
      <c r="O205" s="2">
        <v>-2427243798.6500001</v>
      </c>
      <c r="P205" s="1" t="s">
        <v>27</v>
      </c>
    </row>
    <row r="206" spans="1:16" outlineLevel="2">
      <c r="A206" s="1" t="s">
        <v>333</v>
      </c>
      <c r="B206" s="1" t="s">
        <v>334</v>
      </c>
      <c r="C206" s="1" t="s">
        <v>335</v>
      </c>
      <c r="D206" s="2">
        <v>-2420642954.6799998</v>
      </c>
      <c r="E206" s="1" t="s">
        <v>403</v>
      </c>
      <c r="F206" s="3">
        <v>46219</v>
      </c>
      <c r="G206" s="4">
        <v>8799534</v>
      </c>
      <c r="H206" s="1" t="s">
        <v>337</v>
      </c>
      <c r="I206" s="1" t="s">
        <v>50</v>
      </c>
      <c r="J206" s="1" t="s">
        <v>404</v>
      </c>
      <c r="K206" s="2" t="s">
        <v>24</v>
      </c>
      <c r="L206" s="1" t="s">
        <v>25</v>
      </c>
      <c r="M206" s="2" t="s">
        <v>26</v>
      </c>
      <c r="N206" s="2">
        <v>1623125</v>
      </c>
      <c r="O206" s="2">
        <v>-2428866923.6500001</v>
      </c>
      <c r="P206" s="1" t="s">
        <v>27</v>
      </c>
    </row>
    <row r="207" spans="1:16" outlineLevel="2">
      <c r="A207" s="1" t="s">
        <v>333</v>
      </c>
      <c r="B207" s="1" t="s">
        <v>334</v>
      </c>
      <c r="C207" s="1" t="s">
        <v>335</v>
      </c>
      <c r="D207" s="2">
        <v>-2420642954.6799998</v>
      </c>
      <c r="E207" s="1" t="s">
        <v>405</v>
      </c>
      <c r="F207" s="3">
        <v>46219</v>
      </c>
      <c r="G207" s="4">
        <v>800135913</v>
      </c>
      <c r="H207" s="1" t="s">
        <v>391</v>
      </c>
      <c r="I207" s="1" t="s">
        <v>68</v>
      </c>
      <c r="J207" s="1" t="s">
        <v>393</v>
      </c>
      <c r="K207" s="2" t="s">
        <v>24</v>
      </c>
      <c r="L207" s="1" t="s">
        <v>25</v>
      </c>
      <c r="M207" s="2" t="s">
        <v>26</v>
      </c>
      <c r="N207" s="2">
        <v>228163</v>
      </c>
      <c r="O207" s="2">
        <v>-2429095086.6500001</v>
      </c>
      <c r="P207" s="1" t="s">
        <v>27</v>
      </c>
    </row>
    <row r="208" spans="1:16" outlineLevel="2">
      <c r="A208" s="1" t="s">
        <v>333</v>
      </c>
      <c r="B208" s="1" t="s">
        <v>334</v>
      </c>
      <c r="C208" s="1" t="s">
        <v>335</v>
      </c>
      <c r="D208" s="2">
        <v>-2420642954.6799998</v>
      </c>
      <c r="E208" s="1" t="s">
        <v>406</v>
      </c>
      <c r="F208" s="3">
        <v>46219</v>
      </c>
      <c r="G208" s="4">
        <v>901047340</v>
      </c>
      <c r="H208" s="1" t="s">
        <v>407</v>
      </c>
      <c r="I208" s="1" t="s">
        <v>89</v>
      </c>
      <c r="J208" s="1" t="s">
        <v>408</v>
      </c>
      <c r="K208" s="2" t="s">
        <v>24</v>
      </c>
      <c r="L208" s="1" t="s">
        <v>25</v>
      </c>
      <c r="M208" s="2" t="s">
        <v>26</v>
      </c>
      <c r="N208" s="2">
        <v>533750</v>
      </c>
      <c r="O208" s="2">
        <v>-2429628836.6500001</v>
      </c>
      <c r="P208" s="1" t="s">
        <v>27</v>
      </c>
    </row>
    <row r="209" spans="1:16" outlineLevel="2">
      <c r="A209" s="1" t="s">
        <v>333</v>
      </c>
      <c r="B209" s="1" t="s">
        <v>334</v>
      </c>
      <c r="C209" s="1" t="s">
        <v>335</v>
      </c>
      <c r="D209" s="2">
        <v>-2420642954.6799998</v>
      </c>
      <c r="E209" s="1" t="s">
        <v>409</v>
      </c>
      <c r="F209" s="3">
        <v>46219</v>
      </c>
      <c r="G209" s="4">
        <v>901047340</v>
      </c>
      <c r="H209" s="1" t="s">
        <v>407</v>
      </c>
      <c r="I209" s="1" t="s">
        <v>89</v>
      </c>
      <c r="J209" s="1" t="s">
        <v>410</v>
      </c>
      <c r="K209" s="2" t="s">
        <v>24</v>
      </c>
      <c r="L209" s="1" t="s">
        <v>25</v>
      </c>
      <c r="M209" s="2" t="s">
        <v>26</v>
      </c>
      <c r="N209" s="2">
        <v>533750</v>
      </c>
      <c r="O209" s="2">
        <v>-2430162586.6500001</v>
      </c>
      <c r="P209" s="1" t="s">
        <v>27</v>
      </c>
    </row>
    <row r="210" spans="1:16" outlineLevel="2">
      <c r="A210" s="1" t="s">
        <v>333</v>
      </c>
      <c r="B210" s="1" t="s">
        <v>334</v>
      </c>
      <c r="C210" s="1" t="s">
        <v>335</v>
      </c>
      <c r="D210" s="2">
        <v>-2420642954.6799998</v>
      </c>
      <c r="E210" s="1" t="s">
        <v>411</v>
      </c>
      <c r="F210" s="3">
        <v>46219</v>
      </c>
      <c r="G210" s="4">
        <v>8799534</v>
      </c>
      <c r="H210" s="1" t="s">
        <v>337</v>
      </c>
      <c r="I210" s="1" t="s">
        <v>50</v>
      </c>
      <c r="J210" s="1" t="s">
        <v>381</v>
      </c>
      <c r="K210" s="2" t="s">
        <v>24</v>
      </c>
      <c r="L210" s="1" t="s">
        <v>25</v>
      </c>
      <c r="M210" s="2" t="s">
        <v>26</v>
      </c>
      <c r="N210" s="2">
        <v>1750000</v>
      </c>
      <c r="O210" s="2">
        <v>-2431912586.6500001</v>
      </c>
      <c r="P210" s="1" t="s">
        <v>27</v>
      </c>
    </row>
    <row r="211" spans="1:16" outlineLevel="2">
      <c r="A211" s="1" t="s">
        <v>333</v>
      </c>
      <c r="B211" s="1" t="s">
        <v>334</v>
      </c>
      <c r="C211" s="1" t="s">
        <v>335</v>
      </c>
      <c r="D211" s="2">
        <v>-2420642954.6799998</v>
      </c>
      <c r="E211" s="1" t="s">
        <v>412</v>
      </c>
      <c r="F211" s="3">
        <v>46224</v>
      </c>
      <c r="G211" s="4">
        <v>72045410</v>
      </c>
      <c r="H211" s="1" t="s">
        <v>413</v>
      </c>
      <c r="I211" s="1" t="s">
        <v>414</v>
      </c>
      <c r="J211" s="1" t="s">
        <v>415</v>
      </c>
      <c r="K211" s="2" t="s">
        <v>24</v>
      </c>
      <c r="L211" s="1" t="s">
        <v>25</v>
      </c>
      <c r="M211" s="2">
        <v>1623125</v>
      </c>
      <c r="N211" s="2" t="s">
        <v>26</v>
      </c>
      <c r="O211" s="2">
        <v>-2430289461.6500001</v>
      </c>
      <c r="P211" s="1" t="s">
        <v>27</v>
      </c>
    </row>
    <row r="212" spans="1:16" outlineLevel="2">
      <c r="A212" s="1" t="s">
        <v>333</v>
      </c>
      <c r="B212" s="1" t="s">
        <v>334</v>
      </c>
      <c r="C212" s="1" t="s">
        <v>335</v>
      </c>
      <c r="D212" s="2">
        <v>-2420642954.6799998</v>
      </c>
      <c r="E212" s="1" t="s">
        <v>416</v>
      </c>
      <c r="F212" s="3">
        <v>46224</v>
      </c>
      <c r="G212" s="4">
        <v>16708751</v>
      </c>
      <c r="H212" s="1" t="s">
        <v>212</v>
      </c>
      <c r="I212" s="1" t="s">
        <v>417</v>
      </c>
      <c r="J212" s="1" t="s">
        <v>418</v>
      </c>
      <c r="K212" s="2" t="s">
        <v>24</v>
      </c>
      <c r="L212" s="1" t="s">
        <v>25</v>
      </c>
      <c r="M212" s="2">
        <v>1030335</v>
      </c>
      <c r="N212" s="2" t="s">
        <v>26</v>
      </c>
      <c r="O212" s="2">
        <v>-2429259126.6500001</v>
      </c>
      <c r="P212" s="1" t="s">
        <v>27</v>
      </c>
    </row>
    <row r="213" spans="1:16" outlineLevel="2">
      <c r="A213" s="1" t="s">
        <v>333</v>
      </c>
      <c r="B213" s="1" t="s">
        <v>334</v>
      </c>
      <c r="C213" s="1" t="s">
        <v>335</v>
      </c>
      <c r="D213" s="2">
        <v>-2420642954.6799998</v>
      </c>
      <c r="E213" s="1" t="s">
        <v>419</v>
      </c>
      <c r="F213" s="3">
        <v>46224</v>
      </c>
      <c r="G213" s="4">
        <v>8799534</v>
      </c>
      <c r="H213" s="1" t="s">
        <v>337</v>
      </c>
      <c r="I213" s="1" t="s">
        <v>420</v>
      </c>
      <c r="J213" s="1" t="s">
        <v>404</v>
      </c>
      <c r="K213" s="2" t="s">
        <v>24</v>
      </c>
      <c r="L213" s="1" t="s">
        <v>25</v>
      </c>
      <c r="M213" s="2">
        <v>1623125</v>
      </c>
      <c r="N213" s="2" t="s">
        <v>26</v>
      </c>
      <c r="O213" s="2">
        <v>-2427636001.6500001</v>
      </c>
      <c r="P213" s="1" t="s">
        <v>27</v>
      </c>
    </row>
    <row r="214" spans="1:16" outlineLevel="2">
      <c r="A214" s="1" t="s">
        <v>333</v>
      </c>
      <c r="B214" s="1" t="s">
        <v>334</v>
      </c>
      <c r="C214" s="1" t="s">
        <v>335</v>
      </c>
      <c r="D214" s="2">
        <v>-2420642954.6799998</v>
      </c>
      <c r="E214" s="1" t="s">
        <v>421</v>
      </c>
      <c r="F214" s="3">
        <v>46224</v>
      </c>
      <c r="G214" s="4">
        <v>72311773</v>
      </c>
      <c r="H214" s="1" t="s">
        <v>208</v>
      </c>
      <c r="I214" s="1" t="s">
        <v>422</v>
      </c>
      <c r="J214" s="1" t="s">
        <v>423</v>
      </c>
      <c r="K214" s="2" t="s">
        <v>24</v>
      </c>
      <c r="L214" s="1" t="s">
        <v>25</v>
      </c>
      <c r="M214" s="2">
        <v>927500</v>
      </c>
      <c r="N214" s="2" t="s">
        <v>26</v>
      </c>
      <c r="O214" s="2">
        <v>-2426708501.6500001</v>
      </c>
      <c r="P214" s="1" t="s">
        <v>27</v>
      </c>
    </row>
    <row r="215" spans="1:16" outlineLevel="2">
      <c r="A215" s="1" t="s">
        <v>333</v>
      </c>
      <c r="B215" s="1" t="s">
        <v>334</v>
      </c>
      <c r="C215" s="1" t="s">
        <v>335</v>
      </c>
      <c r="D215" s="2">
        <v>-2420642954.6799998</v>
      </c>
      <c r="E215" s="1" t="s">
        <v>424</v>
      </c>
      <c r="F215" s="3">
        <v>46224</v>
      </c>
      <c r="G215" s="4">
        <v>900475439</v>
      </c>
      <c r="H215" s="1" t="s">
        <v>425</v>
      </c>
      <c r="I215" s="1" t="s">
        <v>426</v>
      </c>
      <c r="J215" s="1" t="s">
        <v>427</v>
      </c>
      <c r="K215" s="2" t="s">
        <v>24</v>
      </c>
      <c r="L215" s="1" t="s">
        <v>25</v>
      </c>
      <c r="M215" s="2" t="s">
        <v>26</v>
      </c>
      <c r="N215" s="2">
        <v>341938.17</v>
      </c>
      <c r="O215" s="2">
        <v>-2427050439.8200002</v>
      </c>
      <c r="P215" s="1" t="s">
        <v>27</v>
      </c>
    </row>
    <row r="216" spans="1:16" outlineLevel="2">
      <c r="A216" s="1" t="s">
        <v>333</v>
      </c>
      <c r="B216" s="1" t="s">
        <v>334</v>
      </c>
      <c r="C216" s="1" t="s">
        <v>335</v>
      </c>
      <c r="D216" s="2">
        <v>-2420642954.6799998</v>
      </c>
      <c r="E216" s="1" t="s">
        <v>428</v>
      </c>
      <c r="F216" s="3">
        <v>46224</v>
      </c>
      <c r="G216" s="4">
        <v>16708751</v>
      </c>
      <c r="H216" s="1" t="s">
        <v>212</v>
      </c>
      <c r="I216" s="1" t="s">
        <v>73</v>
      </c>
      <c r="J216" s="1" t="s">
        <v>418</v>
      </c>
      <c r="K216" s="2" t="s">
        <v>24</v>
      </c>
      <c r="L216" s="1" t="s">
        <v>25</v>
      </c>
      <c r="M216" s="2" t="s">
        <v>26</v>
      </c>
      <c r="N216" s="2">
        <v>1030335</v>
      </c>
      <c r="O216" s="2">
        <v>-2428080774.8200002</v>
      </c>
      <c r="P216" s="1" t="s">
        <v>27</v>
      </c>
    </row>
    <row r="217" spans="1:16" outlineLevel="2">
      <c r="A217" s="1" t="s">
        <v>333</v>
      </c>
      <c r="B217" s="1" t="s">
        <v>334</v>
      </c>
      <c r="C217" s="1" t="s">
        <v>335</v>
      </c>
      <c r="D217" s="2">
        <v>-2420642954.6799998</v>
      </c>
      <c r="E217" s="1" t="s">
        <v>429</v>
      </c>
      <c r="F217" s="3">
        <v>46224</v>
      </c>
      <c r="G217" s="4">
        <v>72045410</v>
      </c>
      <c r="H217" s="1" t="s">
        <v>413</v>
      </c>
      <c r="I217" s="1" t="s">
        <v>430</v>
      </c>
      <c r="J217" s="1" t="s">
        <v>431</v>
      </c>
      <c r="K217" s="2" t="s">
        <v>24</v>
      </c>
      <c r="L217" s="1" t="s">
        <v>25</v>
      </c>
      <c r="M217" s="2">
        <v>1750000</v>
      </c>
      <c r="N217" s="2" t="s">
        <v>26</v>
      </c>
      <c r="O217" s="2">
        <v>-2426330774.8200002</v>
      </c>
      <c r="P217" s="1" t="s">
        <v>27</v>
      </c>
    </row>
    <row r="218" spans="1:16" outlineLevel="2">
      <c r="A218" s="1" t="s">
        <v>333</v>
      </c>
      <c r="B218" s="1" t="s">
        <v>334</v>
      </c>
      <c r="C218" s="1" t="s">
        <v>335</v>
      </c>
      <c r="D218" s="2">
        <v>-2420642954.6799998</v>
      </c>
      <c r="E218" s="1" t="s">
        <v>432</v>
      </c>
      <c r="F218" s="3">
        <v>46224</v>
      </c>
      <c r="G218" s="4">
        <v>72045410</v>
      </c>
      <c r="H218" s="1" t="s">
        <v>413</v>
      </c>
      <c r="I218" s="1" t="s">
        <v>71</v>
      </c>
      <c r="J218" s="1" t="s">
        <v>415</v>
      </c>
      <c r="K218" s="2" t="s">
        <v>24</v>
      </c>
      <c r="L218" s="1" t="s">
        <v>25</v>
      </c>
      <c r="M218" s="2" t="s">
        <v>26</v>
      </c>
      <c r="N218" s="2">
        <v>1623125</v>
      </c>
      <c r="O218" s="2">
        <v>-2427953899.8200002</v>
      </c>
      <c r="P218" s="1" t="s">
        <v>27</v>
      </c>
    </row>
    <row r="219" spans="1:16" outlineLevel="2">
      <c r="A219" s="1" t="s">
        <v>333</v>
      </c>
      <c r="B219" s="1" t="s">
        <v>334</v>
      </c>
      <c r="C219" s="1" t="s">
        <v>335</v>
      </c>
      <c r="D219" s="2">
        <v>-2420642954.6799998</v>
      </c>
      <c r="E219" s="1" t="s">
        <v>433</v>
      </c>
      <c r="F219" s="3">
        <v>46224</v>
      </c>
      <c r="G219" s="4">
        <v>72311773</v>
      </c>
      <c r="H219" s="1" t="s">
        <v>208</v>
      </c>
      <c r="I219" s="1" t="s">
        <v>57</v>
      </c>
      <c r="J219" s="1" t="s">
        <v>423</v>
      </c>
      <c r="K219" s="2" t="s">
        <v>24</v>
      </c>
      <c r="L219" s="1" t="s">
        <v>25</v>
      </c>
      <c r="M219" s="2" t="s">
        <v>26</v>
      </c>
      <c r="N219" s="2">
        <v>927500</v>
      </c>
      <c r="O219" s="2">
        <v>-2428881399.8200002</v>
      </c>
      <c r="P219" s="1" t="s">
        <v>27</v>
      </c>
    </row>
    <row r="220" spans="1:16" outlineLevel="2">
      <c r="A220" s="1" t="s">
        <v>333</v>
      </c>
      <c r="B220" s="1" t="s">
        <v>334</v>
      </c>
      <c r="C220" s="1" t="s">
        <v>335</v>
      </c>
      <c r="D220" s="2">
        <v>-2420642954.6799998</v>
      </c>
      <c r="E220" s="1" t="s">
        <v>434</v>
      </c>
      <c r="F220" s="3">
        <v>46224</v>
      </c>
      <c r="G220" s="4">
        <v>72045410</v>
      </c>
      <c r="H220" s="1" t="s">
        <v>413</v>
      </c>
      <c r="I220" s="1" t="s">
        <v>71</v>
      </c>
      <c r="J220" s="1" t="s">
        <v>431</v>
      </c>
      <c r="K220" s="2" t="s">
        <v>24</v>
      </c>
      <c r="L220" s="1" t="s">
        <v>25</v>
      </c>
      <c r="M220" s="2" t="s">
        <v>26</v>
      </c>
      <c r="N220" s="2">
        <v>1750000</v>
      </c>
      <c r="O220" s="2">
        <v>-2430631399.8200002</v>
      </c>
      <c r="P220" s="1" t="s">
        <v>27</v>
      </c>
    </row>
    <row r="221" spans="1:16" outlineLevel="2">
      <c r="A221" s="1" t="s">
        <v>333</v>
      </c>
      <c r="B221" s="1" t="s">
        <v>334</v>
      </c>
      <c r="C221" s="1" t="s">
        <v>335</v>
      </c>
      <c r="D221" s="2">
        <v>-2420642954.6799998</v>
      </c>
      <c r="E221" s="1" t="s">
        <v>435</v>
      </c>
      <c r="F221" s="3">
        <v>46230</v>
      </c>
      <c r="G221" s="4">
        <v>72045410</v>
      </c>
      <c r="H221" s="1" t="s">
        <v>413</v>
      </c>
      <c r="I221" s="1" t="s">
        <v>436</v>
      </c>
      <c r="J221" s="1" t="s">
        <v>357</v>
      </c>
      <c r="K221" s="2" t="s">
        <v>24</v>
      </c>
      <c r="L221" s="1" t="s">
        <v>25</v>
      </c>
      <c r="M221" s="2">
        <v>1750000</v>
      </c>
      <c r="N221" s="2" t="s">
        <v>26</v>
      </c>
      <c r="O221" s="2">
        <v>-2428881399.8200002</v>
      </c>
      <c r="P221" s="1" t="s">
        <v>27</v>
      </c>
    </row>
    <row r="222" spans="1:16" outlineLevel="2">
      <c r="A222" s="1" t="s">
        <v>333</v>
      </c>
      <c r="B222" s="1" t="s">
        <v>334</v>
      </c>
      <c r="C222" s="1" t="s">
        <v>335</v>
      </c>
      <c r="D222" s="2">
        <v>-2420642954.6799998</v>
      </c>
      <c r="E222" s="1" t="s">
        <v>437</v>
      </c>
      <c r="F222" s="3">
        <v>46230</v>
      </c>
      <c r="G222" s="4">
        <v>72045410</v>
      </c>
      <c r="H222" s="1" t="s">
        <v>413</v>
      </c>
      <c r="I222" s="1" t="s">
        <v>71</v>
      </c>
      <c r="J222" s="1" t="s">
        <v>438</v>
      </c>
      <c r="K222" s="2" t="s">
        <v>24</v>
      </c>
      <c r="L222" s="1" t="s">
        <v>25</v>
      </c>
      <c r="M222" s="2" t="s">
        <v>26</v>
      </c>
      <c r="N222" s="2">
        <v>1623125</v>
      </c>
      <c r="O222" s="2">
        <v>-2430504524.8200002</v>
      </c>
      <c r="P222" s="1" t="s">
        <v>27</v>
      </c>
    </row>
    <row r="223" spans="1:16" outlineLevel="2">
      <c r="A223" s="1" t="s">
        <v>333</v>
      </c>
      <c r="B223" s="1" t="s">
        <v>334</v>
      </c>
      <c r="C223" s="1" t="s">
        <v>335</v>
      </c>
      <c r="D223" s="2">
        <v>-2420642954.6799998</v>
      </c>
      <c r="E223" s="1" t="s">
        <v>439</v>
      </c>
      <c r="F223" s="3">
        <v>46230</v>
      </c>
      <c r="G223" s="4">
        <v>72045410</v>
      </c>
      <c r="H223" s="1" t="s">
        <v>413</v>
      </c>
      <c r="I223" s="1" t="s">
        <v>71</v>
      </c>
      <c r="J223" s="1" t="s">
        <v>357</v>
      </c>
      <c r="K223" s="2" t="s">
        <v>24</v>
      </c>
      <c r="L223" s="1" t="s">
        <v>25</v>
      </c>
      <c r="M223" s="2" t="s">
        <v>26</v>
      </c>
      <c r="N223" s="2">
        <v>1750000</v>
      </c>
      <c r="O223" s="2">
        <v>-2432254524.8200002</v>
      </c>
      <c r="P223" s="1" t="s">
        <v>27</v>
      </c>
    </row>
    <row r="224" spans="1:16" outlineLevel="2">
      <c r="A224" s="1" t="s">
        <v>333</v>
      </c>
      <c r="B224" s="1" t="s">
        <v>334</v>
      </c>
      <c r="C224" s="1" t="s">
        <v>335</v>
      </c>
      <c r="D224" s="2">
        <v>-2420642954.6799998</v>
      </c>
      <c r="E224" s="1" t="s">
        <v>440</v>
      </c>
      <c r="F224" s="3">
        <v>46231</v>
      </c>
      <c r="G224" s="4">
        <v>72257318</v>
      </c>
      <c r="H224" s="1" t="s">
        <v>204</v>
      </c>
      <c r="I224" s="1" t="s">
        <v>441</v>
      </c>
      <c r="J224" s="1" t="s">
        <v>389</v>
      </c>
      <c r="K224" s="2" t="s">
        <v>24</v>
      </c>
      <c r="L224" s="1" t="s">
        <v>25</v>
      </c>
      <c r="M224" s="2">
        <v>400001</v>
      </c>
      <c r="N224" s="2" t="s">
        <v>26</v>
      </c>
      <c r="O224" s="2">
        <v>-2431854523.8200002</v>
      </c>
      <c r="P224" s="1" t="s">
        <v>27</v>
      </c>
    </row>
    <row r="225" spans="1:16" outlineLevel="2">
      <c r="A225" s="1" t="s">
        <v>333</v>
      </c>
      <c r="B225" s="1" t="s">
        <v>334</v>
      </c>
      <c r="C225" s="1" t="s">
        <v>335</v>
      </c>
      <c r="D225" s="2">
        <v>-2420642954.6799998</v>
      </c>
      <c r="E225" s="1" t="s">
        <v>442</v>
      </c>
      <c r="F225" s="3">
        <v>46231</v>
      </c>
      <c r="G225" s="4">
        <v>8794824</v>
      </c>
      <c r="H225" s="1" t="s">
        <v>399</v>
      </c>
      <c r="I225" s="1" t="s">
        <v>443</v>
      </c>
      <c r="J225" s="1" t="s">
        <v>400</v>
      </c>
      <c r="K225" s="2" t="s">
        <v>24</v>
      </c>
      <c r="L225" s="1" t="s">
        <v>25</v>
      </c>
      <c r="M225" s="2">
        <v>300000</v>
      </c>
      <c r="N225" s="2" t="s">
        <v>26</v>
      </c>
      <c r="O225" s="2">
        <v>-2431554523.8200002</v>
      </c>
      <c r="P225" s="1" t="s">
        <v>27</v>
      </c>
    </row>
    <row r="226" spans="1:16" outlineLevel="2">
      <c r="A226" s="1" t="s">
        <v>333</v>
      </c>
      <c r="B226" s="1" t="s">
        <v>334</v>
      </c>
      <c r="C226" s="1" t="s">
        <v>335</v>
      </c>
      <c r="D226" s="2">
        <v>-2420642954.6799998</v>
      </c>
      <c r="E226" s="1" t="s">
        <v>444</v>
      </c>
      <c r="F226" s="3">
        <v>46231</v>
      </c>
      <c r="G226" s="4">
        <v>72045410</v>
      </c>
      <c r="H226" s="1" t="s">
        <v>413</v>
      </c>
      <c r="I226" s="1" t="s">
        <v>445</v>
      </c>
      <c r="J226" s="1" t="s">
        <v>438</v>
      </c>
      <c r="K226" s="2" t="s">
        <v>24</v>
      </c>
      <c r="L226" s="1" t="s">
        <v>25</v>
      </c>
      <c r="M226" s="2">
        <v>1623125</v>
      </c>
      <c r="N226" s="2" t="s">
        <v>26</v>
      </c>
      <c r="O226" s="2">
        <v>-2429931398.8200002</v>
      </c>
      <c r="P226" s="1" t="s">
        <v>27</v>
      </c>
    </row>
    <row r="227" spans="1:16" outlineLevel="2">
      <c r="A227" s="1" t="s">
        <v>333</v>
      </c>
      <c r="B227" s="1" t="s">
        <v>334</v>
      </c>
      <c r="C227" s="1" t="s">
        <v>335</v>
      </c>
      <c r="D227" s="2">
        <v>-2420642954.6799998</v>
      </c>
      <c r="E227" s="1" t="s">
        <v>446</v>
      </c>
      <c r="F227" s="3">
        <v>46232</v>
      </c>
      <c r="G227" s="4">
        <v>1045684224</v>
      </c>
      <c r="H227" s="1" t="s">
        <v>447</v>
      </c>
      <c r="I227" s="1" t="s">
        <v>448</v>
      </c>
      <c r="J227" s="1" t="s">
        <v>449</v>
      </c>
      <c r="K227" s="2" t="s">
        <v>24</v>
      </c>
      <c r="L227" s="1" t="s">
        <v>25</v>
      </c>
      <c r="M227" s="2" t="s">
        <v>26</v>
      </c>
      <c r="N227" s="2">
        <v>755000</v>
      </c>
      <c r="O227" s="2">
        <v>-2430686398.8200002</v>
      </c>
      <c r="P227" s="1" t="s">
        <v>27</v>
      </c>
    </row>
    <row r="228" spans="1:16" outlineLevel="2">
      <c r="A228" s="1" t="s">
        <v>333</v>
      </c>
      <c r="B228" s="1" t="s">
        <v>334</v>
      </c>
      <c r="C228" s="1" t="s">
        <v>335</v>
      </c>
      <c r="D228" s="2">
        <v>-2420642954.6799998</v>
      </c>
      <c r="E228" s="1" t="s">
        <v>450</v>
      </c>
      <c r="F228" s="3">
        <v>46233</v>
      </c>
      <c r="G228" s="4">
        <v>901047340</v>
      </c>
      <c r="H228" s="1" t="s">
        <v>407</v>
      </c>
      <c r="I228" s="1" t="s">
        <v>451</v>
      </c>
      <c r="J228" s="1" t="s">
        <v>452</v>
      </c>
      <c r="K228" s="2" t="s">
        <v>24</v>
      </c>
      <c r="L228" s="1" t="s">
        <v>25</v>
      </c>
      <c r="M228" s="2">
        <v>1601250</v>
      </c>
      <c r="N228" s="2" t="s">
        <v>26</v>
      </c>
      <c r="O228" s="2">
        <v>-2429085148.8200002</v>
      </c>
      <c r="P228" s="1" t="s">
        <v>27</v>
      </c>
    </row>
    <row r="229" spans="1:16" outlineLevel="2">
      <c r="A229" s="1" t="s">
        <v>333</v>
      </c>
      <c r="B229" s="1" t="s">
        <v>334</v>
      </c>
      <c r="C229" s="1" t="s">
        <v>335</v>
      </c>
      <c r="D229" s="2">
        <v>-2420642954.6799998</v>
      </c>
      <c r="E229" s="1" t="s">
        <v>453</v>
      </c>
      <c r="F229" s="3">
        <v>46233</v>
      </c>
      <c r="G229" s="4">
        <v>901047340</v>
      </c>
      <c r="H229" s="1" t="s">
        <v>407</v>
      </c>
      <c r="I229" s="1" t="s">
        <v>454</v>
      </c>
      <c r="J229" s="1" t="s">
        <v>455</v>
      </c>
      <c r="K229" s="2" t="s">
        <v>24</v>
      </c>
      <c r="L229" s="1" t="s">
        <v>25</v>
      </c>
      <c r="M229" s="2">
        <v>533750</v>
      </c>
      <c r="N229" s="2" t="s">
        <v>26</v>
      </c>
      <c r="O229" s="2">
        <v>-2428551398.8200002</v>
      </c>
      <c r="P229" s="1" t="s">
        <v>27</v>
      </c>
    </row>
    <row r="230" spans="1:16" outlineLevel="2">
      <c r="A230" s="1" t="s">
        <v>333</v>
      </c>
      <c r="B230" s="1" t="s">
        <v>334</v>
      </c>
      <c r="C230" s="1" t="s">
        <v>335</v>
      </c>
      <c r="D230" s="2">
        <v>-2420642954.6799998</v>
      </c>
      <c r="E230" s="1" t="s">
        <v>456</v>
      </c>
      <c r="F230" s="3">
        <v>46233</v>
      </c>
      <c r="G230" s="4">
        <v>900309367</v>
      </c>
      <c r="H230" s="1" t="s">
        <v>457</v>
      </c>
      <c r="I230" s="1" t="s">
        <v>458</v>
      </c>
      <c r="J230" s="1" t="s">
        <v>459</v>
      </c>
      <c r="K230" s="2" t="s">
        <v>24</v>
      </c>
      <c r="L230" s="1" t="s">
        <v>25</v>
      </c>
      <c r="M230" s="2">
        <v>149854.99</v>
      </c>
      <c r="N230" s="2" t="s">
        <v>26</v>
      </c>
      <c r="O230" s="2">
        <v>-2428401543.8299999</v>
      </c>
      <c r="P230" s="1" t="s">
        <v>27</v>
      </c>
    </row>
    <row r="231" spans="1:16" outlineLevel="2">
      <c r="A231" s="1" t="s">
        <v>333</v>
      </c>
      <c r="B231" s="1" t="s">
        <v>334</v>
      </c>
      <c r="C231" s="1" t="s">
        <v>335</v>
      </c>
      <c r="D231" s="2">
        <v>-2420642954.6799998</v>
      </c>
      <c r="E231" s="1" t="s">
        <v>460</v>
      </c>
      <c r="F231" s="3">
        <v>46233</v>
      </c>
      <c r="G231" s="4">
        <v>900276962</v>
      </c>
      <c r="H231" s="1" t="s">
        <v>461</v>
      </c>
      <c r="I231" s="1" t="s">
        <v>462</v>
      </c>
      <c r="J231" s="1" t="s">
        <v>463</v>
      </c>
      <c r="K231" s="2" t="s">
        <v>24</v>
      </c>
      <c r="L231" s="1" t="s">
        <v>25</v>
      </c>
      <c r="M231" s="2">
        <v>38270</v>
      </c>
      <c r="N231" s="2" t="s">
        <v>26</v>
      </c>
      <c r="O231" s="2">
        <v>-2428363273.8299999</v>
      </c>
      <c r="P231" s="1" t="s">
        <v>27</v>
      </c>
    </row>
    <row r="232" spans="1:16" outlineLevel="2">
      <c r="A232" s="1" t="s">
        <v>333</v>
      </c>
      <c r="B232" s="1" t="s">
        <v>334</v>
      </c>
      <c r="C232" s="1" t="s">
        <v>335</v>
      </c>
      <c r="D232" s="2">
        <v>-2420642954.6799998</v>
      </c>
      <c r="E232" s="1" t="s">
        <v>464</v>
      </c>
      <c r="F232" s="3">
        <v>46233</v>
      </c>
      <c r="G232" s="4">
        <v>901691635</v>
      </c>
      <c r="H232" s="1" t="s">
        <v>465</v>
      </c>
      <c r="I232" s="1" t="s">
        <v>466</v>
      </c>
      <c r="J232" s="1" t="s">
        <v>467</v>
      </c>
      <c r="K232" s="2" t="s">
        <v>24</v>
      </c>
      <c r="L232" s="1" t="s">
        <v>25</v>
      </c>
      <c r="M232" s="2">
        <v>19999</v>
      </c>
      <c r="N232" s="2" t="s">
        <v>26</v>
      </c>
      <c r="O232" s="2">
        <v>-2428343274.8299999</v>
      </c>
      <c r="P232" s="1" t="s">
        <v>27</v>
      </c>
    </row>
    <row r="233" spans="1:16" outlineLevel="2">
      <c r="A233" s="1" t="s">
        <v>333</v>
      </c>
      <c r="B233" s="1" t="s">
        <v>334</v>
      </c>
      <c r="C233" s="1" t="s">
        <v>335</v>
      </c>
      <c r="D233" s="2">
        <v>-2420642954.6799998</v>
      </c>
      <c r="E233" s="1" t="s">
        <v>468</v>
      </c>
      <c r="F233" s="3">
        <v>46233</v>
      </c>
      <c r="G233" s="4">
        <v>901853183</v>
      </c>
      <c r="H233" s="1" t="s">
        <v>469</v>
      </c>
      <c r="I233" s="1" t="s">
        <v>470</v>
      </c>
      <c r="J233" s="1" t="s">
        <v>471</v>
      </c>
      <c r="K233" s="2" t="s">
        <v>24</v>
      </c>
      <c r="L233" s="1" t="s">
        <v>25</v>
      </c>
      <c r="M233" s="2">
        <v>8775</v>
      </c>
      <c r="N233" s="2" t="s">
        <v>26</v>
      </c>
      <c r="O233" s="2">
        <v>-2428334499.8299999</v>
      </c>
      <c r="P233" s="1" t="s">
        <v>27</v>
      </c>
    </row>
    <row r="234" spans="1:16" outlineLevel="2">
      <c r="A234" s="1" t="s">
        <v>333</v>
      </c>
      <c r="B234" s="1" t="s">
        <v>334</v>
      </c>
      <c r="C234" s="1" t="s">
        <v>335</v>
      </c>
      <c r="D234" s="2">
        <v>-2420642954.6799998</v>
      </c>
      <c r="E234" s="1" t="s">
        <v>472</v>
      </c>
      <c r="F234" s="3">
        <v>46233</v>
      </c>
      <c r="G234" s="4">
        <v>72257318</v>
      </c>
      <c r="H234" s="1" t="s">
        <v>204</v>
      </c>
      <c r="I234" s="1" t="s">
        <v>473</v>
      </c>
      <c r="J234" s="1" t="s">
        <v>474</v>
      </c>
      <c r="K234" s="2" t="s">
        <v>24</v>
      </c>
      <c r="L234" s="1" t="s">
        <v>25</v>
      </c>
      <c r="M234" s="2">
        <v>89000</v>
      </c>
      <c r="N234" s="2" t="s">
        <v>26</v>
      </c>
      <c r="O234" s="2">
        <v>-2428245499.8299999</v>
      </c>
      <c r="P234" s="1" t="s">
        <v>27</v>
      </c>
    </row>
    <row r="235" spans="1:16" outlineLevel="2">
      <c r="A235" s="1" t="s">
        <v>333</v>
      </c>
      <c r="B235" s="1" t="s">
        <v>334</v>
      </c>
      <c r="C235" s="1" t="s">
        <v>335</v>
      </c>
      <c r="D235" s="2">
        <v>-2420642954.6799998</v>
      </c>
      <c r="E235" s="1" t="s">
        <v>475</v>
      </c>
      <c r="F235" s="3">
        <v>46233</v>
      </c>
      <c r="G235" s="4">
        <v>1042436824</v>
      </c>
      <c r="H235" s="1" t="s">
        <v>476</v>
      </c>
      <c r="I235" s="1" t="s">
        <v>477</v>
      </c>
      <c r="J235" s="1" t="s">
        <v>339</v>
      </c>
      <c r="K235" s="2" t="s">
        <v>24</v>
      </c>
      <c r="L235" s="1" t="s">
        <v>25</v>
      </c>
      <c r="M235" s="2">
        <v>125000</v>
      </c>
      <c r="N235" s="2" t="s">
        <v>26</v>
      </c>
      <c r="O235" s="2">
        <v>-2428120499.8299999</v>
      </c>
      <c r="P235" s="1" t="s">
        <v>27</v>
      </c>
    </row>
    <row r="236" spans="1:16" outlineLevel="2">
      <c r="A236" s="1" t="s">
        <v>333</v>
      </c>
      <c r="B236" s="1" t="s">
        <v>334</v>
      </c>
      <c r="C236" s="1" t="s">
        <v>335</v>
      </c>
      <c r="D236" s="2">
        <v>-2420642954.6799998</v>
      </c>
      <c r="E236" s="1" t="s">
        <v>478</v>
      </c>
      <c r="F236" s="3">
        <v>46233</v>
      </c>
      <c r="G236" s="4">
        <v>32785411</v>
      </c>
      <c r="H236" s="1" t="s">
        <v>479</v>
      </c>
      <c r="I236" s="1" t="s">
        <v>480</v>
      </c>
      <c r="J236" s="1" t="s">
        <v>481</v>
      </c>
      <c r="K236" s="2" t="s">
        <v>24</v>
      </c>
      <c r="L236" s="1" t="s">
        <v>25</v>
      </c>
      <c r="M236" s="2">
        <v>150000</v>
      </c>
      <c r="N236" s="2" t="s">
        <v>26</v>
      </c>
      <c r="O236" s="2">
        <v>-2427970499.8299999</v>
      </c>
      <c r="P236" s="1" t="s">
        <v>27</v>
      </c>
    </row>
    <row r="237" spans="1:16" outlineLevel="2">
      <c r="A237" s="1" t="s">
        <v>333</v>
      </c>
      <c r="B237" s="1" t="s">
        <v>334</v>
      </c>
      <c r="C237" s="1" t="s">
        <v>335</v>
      </c>
      <c r="D237" s="2">
        <v>-2420642954.6799998</v>
      </c>
      <c r="E237" s="1" t="s">
        <v>482</v>
      </c>
      <c r="F237" s="3">
        <v>46233</v>
      </c>
      <c r="G237" s="4">
        <v>8794824</v>
      </c>
      <c r="H237" s="1" t="s">
        <v>399</v>
      </c>
      <c r="I237" s="1" t="s">
        <v>483</v>
      </c>
      <c r="J237" s="1" t="s">
        <v>474</v>
      </c>
      <c r="K237" s="2" t="s">
        <v>24</v>
      </c>
      <c r="L237" s="1" t="s">
        <v>25</v>
      </c>
      <c r="M237" s="2">
        <v>70000</v>
      </c>
      <c r="N237" s="2" t="s">
        <v>26</v>
      </c>
      <c r="O237" s="2">
        <v>-2427900499.8299999</v>
      </c>
      <c r="P237" s="1" t="s">
        <v>27</v>
      </c>
    </row>
    <row r="238" spans="1:16" outlineLevel="2">
      <c r="A238" s="1" t="s">
        <v>333</v>
      </c>
      <c r="B238" s="1" t="s">
        <v>334</v>
      </c>
      <c r="C238" s="1" t="s">
        <v>335</v>
      </c>
      <c r="D238" s="2">
        <v>-2420642954.6799998</v>
      </c>
      <c r="E238" s="1" t="s">
        <v>484</v>
      </c>
      <c r="F238" s="3">
        <v>46233</v>
      </c>
      <c r="G238" s="4">
        <v>1042436824</v>
      </c>
      <c r="H238" s="1" t="s">
        <v>476</v>
      </c>
      <c r="I238" s="1" t="s">
        <v>485</v>
      </c>
      <c r="J238" s="1" t="s">
        <v>339</v>
      </c>
      <c r="K238" s="2" t="s">
        <v>24</v>
      </c>
      <c r="L238" s="1" t="s">
        <v>25</v>
      </c>
      <c r="M238" s="2" t="s">
        <v>26</v>
      </c>
      <c r="N238" s="2">
        <v>125000</v>
      </c>
      <c r="O238" s="2">
        <v>-2428025499.8299999</v>
      </c>
      <c r="P238" s="1" t="s">
        <v>27</v>
      </c>
    </row>
    <row r="239" spans="1:16" outlineLevel="2">
      <c r="A239" s="1" t="s">
        <v>333</v>
      </c>
      <c r="B239" s="1" t="s">
        <v>334</v>
      </c>
      <c r="C239" s="1" t="s">
        <v>335</v>
      </c>
      <c r="D239" s="2">
        <v>-2420642954.6799998</v>
      </c>
      <c r="E239" s="1" t="s">
        <v>486</v>
      </c>
      <c r="F239" s="3">
        <v>46233</v>
      </c>
      <c r="G239" s="4">
        <v>32785411</v>
      </c>
      <c r="H239" s="1" t="s">
        <v>479</v>
      </c>
      <c r="I239" s="1" t="s">
        <v>487</v>
      </c>
      <c r="J239" s="1" t="s">
        <v>481</v>
      </c>
      <c r="K239" s="2" t="s">
        <v>24</v>
      </c>
      <c r="L239" s="1" t="s">
        <v>25</v>
      </c>
      <c r="M239" s="2" t="s">
        <v>26</v>
      </c>
      <c r="N239" s="2">
        <v>150000</v>
      </c>
      <c r="O239" s="2">
        <v>-2428175499.8299999</v>
      </c>
      <c r="P239" s="1" t="s">
        <v>27</v>
      </c>
    </row>
    <row r="240" spans="1:16" outlineLevel="2">
      <c r="A240" s="1" t="s">
        <v>333</v>
      </c>
      <c r="B240" s="1" t="s">
        <v>334</v>
      </c>
      <c r="C240" s="1" t="s">
        <v>335</v>
      </c>
      <c r="D240" s="2">
        <v>-2420642954.6799998</v>
      </c>
      <c r="E240" s="1" t="s">
        <v>488</v>
      </c>
      <c r="F240" s="3">
        <v>46233</v>
      </c>
      <c r="G240" s="4">
        <v>72257318</v>
      </c>
      <c r="H240" s="1" t="s">
        <v>204</v>
      </c>
      <c r="I240" s="1" t="s">
        <v>43</v>
      </c>
      <c r="J240" s="1" t="s">
        <v>474</v>
      </c>
      <c r="K240" s="2" t="s">
        <v>24</v>
      </c>
      <c r="L240" s="1" t="s">
        <v>25</v>
      </c>
      <c r="M240" s="2" t="s">
        <v>26</v>
      </c>
      <c r="N240" s="2">
        <v>89000</v>
      </c>
      <c r="O240" s="2">
        <v>-2428264499.8299999</v>
      </c>
      <c r="P240" s="1" t="s">
        <v>27</v>
      </c>
    </row>
    <row r="241" spans="1:16" outlineLevel="2">
      <c r="A241" s="1" t="s">
        <v>333</v>
      </c>
      <c r="B241" s="1" t="s">
        <v>334</v>
      </c>
      <c r="C241" s="1" t="s">
        <v>335</v>
      </c>
      <c r="D241" s="2">
        <v>-2420642954.6799998</v>
      </c>
      <c r="E241" s="1" t="s">
        <v>489</v>
      </c>
      <c r="F241" s="3">
        <v>46233</v>
      </c>
      <c r="G241" s="4">
        <v>8794824</v>
      </c>
      <c r="H241" s="1" t="s">
        <v>399</v>
      </c>
      <c r="I241" s="1" t="s">
        <v>86</v>
      </c>
      <c r="J241" s="1" t="s">
        <v>474</v>
      </c>
      <c r="K241" s="2" t="s">
        <v>24</v>
      </c>
      <c r="L241" s="1" t="s">
        <v>25</v>
      </c>
      <c r="M241" s="2" t="s">
        <v>26</v>
      </c>
      <c r="N241" s="2">
        <v>70000</v>
      </c>
      <c r="O241" s="2">
        <v>-2428334499.8299999</v>
      </c>
      <c r="P241" s="1" t="s">
        <v>27</v>
      </c>
    </row>
    <row r="242" spans="1:16" outlineLevel="2">
      <c r="A242" s="1" t="s">
        <v>333</v>
      </c>
      <c r="B242" s="1" t="s">
        <v>334</v>
      </c>
      <c r="C242" s="1" t="s">
        <v>335</v>
      </c>
      <c r="D242" s="2">
        <v>-2420642954.6799998</v>
      </c>
      <c r="E242" s="1" t="s">
        <v>490</v>
      </c>
      <c r="F242" s="3">
        <v>46234</v>
      </c>
      <c r="G242" s="4">
        <v>72257318</v>
      </c>
      <c r="H242" s="1" t="s">
        <v>204</v>
      </c>
      <c r="I242" s="1" t="s">
        <v>491</v>
      </c>
      <c r="J242" s="1" t="s">
        <v>492</v>
      </c>
      <c r="K242" s="2" t="s">
        <v>24</v>
      </c>
      <c r="L242" s="1" t="s">
        <v>25</v>
      </c>
      <c r="M242" s="2">
        <v>171181</v>
      </c>
      <c r="N242" s="2" t="s">
        <v>26</v>
      </c>
      <c r="O242" s="2">
        <v>-2428163318.8299999</v>
      </c>
      <c r="P242" s="1" t="s">
        <v>27</v>
      </c>
    </row>
    <row r="243" spans="1:16" outlineLevel="2">
      <c r="A243" s="1" t="s">
        <v>333</v>
      </c>
      <c r="B243" s="1" t="s">
        <v>334</v>
      </c>
      <c r="C243" s="1" t="s">
        <v>335</v>
      </c>
      <c r="D243" s="2">
        <v>-2420642954.6799998</v>
      </c>
      <c r="E243" s="1" t="s">
        <v>493</v>
      </c>
      <c r="F243" s="3">
        <v>46234</v>
      </c>
      <c r="G243" s="4">
        <v>1042436824</v>
      </c>
      <c r="H243" s="1" t="s">
        <v>476</v>
      </c>
      <c r="I243" s="1" t="s">
        <v>494</v>
      </c>
      <c r="J243" s="1" t="s">
        <v>492</v>
      </c>
      <c r="K243" s="2" t="s">
        <v>24</v>
      </c>
      <c r="L243" s="1" t="s">
        <v>25</v>
      </c>
      <c r="M243" s="2">
        <v>100000</v>
      </c>
      <c r="N243" s="2" t="s">
        <v>26</v>
      </c>
      <c r="O243" s="2">
        <v>-2428063318.8299999</v>
      </c>
      <c r="P243" s="1" t="s">
        <v>27</v>
      </c>
    </row>
    <row r="244" spans="1:16" outlineLevel="2">
      <c r="A244" s="1" t="s">
        <v>333</v>
      </c>
      <c r="B244" s="1" t="s">
        <v>334</v>
      </c>
      <c r="C244" s="1" t="s">
        <v>335</v>
      </c>
      <c r="D244" s="2">
        <v>-2420642954.6799998</v>
      </c>
      <c r="E244" s="1" t="s">
        <v>495</v>
      </c>
      <c r="F244" s="3">
        <v>46234</v>
      </c>
      <c r="G244" s="4">
        <v>8794824</v>
      </c>
      <c r="H244" s="1" t="s">
        <v>399</v>
      </c>
      <c r="I244" s="1" t="s">
        <v>496</v>
      </c>
      <c r="J244" s="1" t="s">
        <v>497</v>
      </c>
      <c r="K244" s="2" t="s">
        <v>24</v>
      </c>
      <c r="L244" s="1" t="s">
        <v>25</v>
      </c>
      <c r="M244" s="2">
        <v>50000</v>
      </c>
      <c r="N244" s="2" t="s">
        <v>26</v>
      </c>
      <c r="O244" s="2">
        <v>-2428013318.8299999</v>
      </c>
      <c r="P244" s="1" t="s">
        <v>27</v>
      </c>
    </row>
    <row r="245" spans="1:16" outlineLevel="2">
      <c r="A245" s="1" t="s">
        <v>333</v>
      </c>
      <c r="B245" s="1" t="s">
        <v>334</v>
      </c>
      <c r="C245" s="1" t="s">
        <v>335</v>
      </c>
      <c r="D245" s="2">
        <v>-2420642954.6799998</v>
      </c>
      <c r="E245" s="1" t="s">
        <v>498</v>
      </c>
      <c r="F245" s="3">
        <v>46234</v>
      </c>
      <c r="G245" s="4">
        <v>1143257677</v>
      </c>
      <c r="H245" s="1" t="s">
        <v>499</v>
      </c>
      <c r="I245" s="1" t="s">
        <v>496</v>
      </c>
      <c r="J245" s="1" t="s">
        <v>474</v>
      </c>
      <c r="K245" s="2" t="s">
        <v>24</v>
      </c>
      <c r="L245" s="1" t="s">
        <v>25</v>
      </c>
      <c r="M245" s="2">
        <v>20000</v>
      </c>
      <c r="N245" s="2" t="s">
        <v>26</v>
      </c>
      <c r="O245" s="2">
        <v>-2427993318.8299999</v>
      </c>
      <c r="P245" s="1" t="s">
        <v>27</v>
      </c>
    </row>
    <row r="246" spans="1:16" outlineLevel="2">
      <c r="A246" s="1" t="s">
        <v>333</v>
      </c>
      <c r="B246" s="1" t="s">
        <v>334</v>
      </c>
      <c r="C246" s="1" t="s">
        <v>335</v>
      </c>
      <c r="D246" s="2">
        <v>-2420642954.6799998</v>
      </c>
      <c r="E246" s="1" t="s">
        <v>500</v>
      </c>
      <c r="F246" s="3">
        <v>46234</v>
      </c>
      <c r="G246" s="4">
        <v>1042436824</v>
      </c>
      <c r="H246" s="1" t="s">
        <v>476</v>
      </c>
      <c r="I246" s="1" t="s">
        <v>485</v>
      </c>
      <c r="J246" s="1" t="s">
        <v>492</v>
      </c>
      <c r="K246" s="2" t="s">
        <v>24</v>
      </c>
      <c r="L246" s="1" t="s">
        <v>25</v>
      </c>
      <c r="M246" s="2" t="s">
        <v>26</v>
      </c>
      <c r="N246" s="2">
        <v>100000</v>
      </c>
      <c r="O246" s="2">
        <v>-2428093318.8299999</v>
      </c>
      <c r="P246" s="1" t="s">
        <v>27</v>
      </c>
    </row>
    <row r="247" spans="1:16" outlineLevel="2">
      <c r="A247" s="1" t="s">
        <v>333</v>
      </c>
      <c r="B247" s="1" t="s">
        <v>334</v>
      </c>
      <c r="C247" s="1" t="s">
        <v>335</v>
      </c>
      <c r="D247" s="2">
        <v>-2420642954.6799998</v>
      </c>
      <c r="E247" s="1" t="s">
        <v>501</v>
      </c>
      <c r="F247" s="3">
        <v>46234</v>
      </c>
      <c r="G247" s="4">
        <v>72257318</v>
      </c>
      <c r="H247" s="1" t="s">
        <v>204</v>
      </c>
      <c r="I247" s="1" t="s">
        <v>43</v>
      </c>
      <c r="J247" s="1" t="s">
        <v>492</v>
      </c>
      <c r="K247" s="2" t="s">
        <v>24</v>
      </c>
      <c r="L247" s="1" t="s">
        <v>25</v>
      </c>
      <c r="M247" s="2" t="s">
        <v>26</v>
      </c>
      <c r="N247" s="2">
        <v>171181</v>
      </c>
      <c r="O247" s="2">
        <v>-2428264499.8299999</v>
      </c>
      <c r="P247" s="1" t="s">
        <v>27</v>
      </c>
    </row>
    <row r="248" spans="1:16" outlineLevel="2">
      <c r="A248" s="1" t="s">
        <v>333</v>
      </c>
      <c r="B248" s="1" t="s">
        <v>334</v>
      </c>
      <c r="C248" s="1" t="s">
        <v>335</v>
      </c>
      <c r="D248" s="2">
        <v>-2420642954.6799998</v>
      </c>
      <c r="E248" s="1" t="s">
        <v>502</v>
      </c>
      <c r="F248" s="3">
        <v>46234</v>
      </c>
      <c r="G248" s="4">
        <v>8794824</v>
      </c>
      <c r="H248" s="1" t="s">
        <v>399</v>
      </c>
      <c r="I248" s="1" t="s">
        <v>86</v>
      </c>
      <c r="J248" s="1" t="s">
        <v>497</v>
      </c>
      <c r="K248" s="2" t="s">
        <v>24</v>
      </c>
      <c r="L248" s="1" t="s">
        <v>25</v>
      </c>
      <c r="M248" s="2" t="s">
        <v>26</v>
      </c>
      <c r="N248" s="2">
        <v>50000</v>
      </c>
      <c r="O248" s="2">
        <v>-2428314499.8299999</v>
      </c>
      <c r="P248" s="1" t="s">
        <v>27</v>
      </c>
    </row>
    <row r="249" spans="1:16" outlineLevel="2">
      <c r="A249" s="1" t="s">
        <v>333</v>
      </c>
      <c r="B249" s="1" t="s">
        <v>334</v>
      </c>
      <c r="C249" s="1" t="s">
        <v>335</v>
      </c>
      <c r="D249" s="2">
        <v>-2420642954.6799998</v>
      </c>
      <c r="E249" s="1" t="s">
        <v>503</v>
      </c>
      <c r="F249" s="3">
        <v>46234</v>
      </c>
      <c r="G249" s="4">
        <v>1143257677</v>
      </c>
      <c r="H249" s="1" t="s">
        <v>499</v>
      </c>
      <c r="I249" s="1" t="s">
        <v>504</v>
      </c>
      <c r="J249" s="1" t="s">
        <v>474</v>
      </c>
      <c r="K249" s="2" t="s">
        <v>24</v>
      </c>
      <c r="L249" s="1" t="s">
        <v>25</v>
      </c>
      <c r="M249" s="2" t="s">
        <v>26</v>
      </c>
      <c r="N249" s="2">
        <v>20000</v>
      </c>
      <c r="O249" s="2">
        <v>-2428334499.8299999</v>
      </c>
      <c r="P249" s="1" t="s">
        <v>27</v>
      </c>
    </row>
    <row r="250" spans="1:16" outlineLevel="2">
      <c r="A250" s="1" t="s">
        <v>333</v>
      </c>
      <c r="B250" s="1" t="s">
        <v>334</v>
      </c>
      <c r="C250" s="1" t="s">
        <v>335</v>
      </c>
      <c r="D250" s="2">
        <v>-2420642954.6799998</v>
      </c>
      <c r="E250" s="1" t="s">
        <v>505</v>
      </c>
      <c r="F250" s="3">
        <v>46234</v>
      </c>
      <c r="G250" s="4">
        <v>1045684224</v>
      </c>
      <c r="H250" s="1" t="s">
        <v>447</v>
      </c>
      <c r="I250" s="1" t="s">
        <v>448</v>
      </c>
      <c r="J250" s="1" t="s">
        <v>449</v>
      </c>
      <c r="K250" s="2" t="s">
        <v>24</v>
      </c>
      <c r="L250" s="1" t="s">
        <v>25</v>
      </c>
      <c r="M250" s="2">
        <v>755000</v>
      </c>
      <c r="N250" s="2" t="s">
        <v>26</v>
      </c>
      <c r="O250" s="2">
        <v>-2427579499.8299999</v>
      </c>
      <c r="P250" s="1" t="s">
        <v>27</v>
      </c>
    </row>
    <row r="251" spans="1:16" outlineLevel="1">
      <c r="A251" s="13" t="s">
        <v>1381</v>
      </c>
      <c r="M251" s="2">
        <f>SUBTOTAL(9,M178:M250)</f>
        <v>36795631.490000002</v>
      </c>
      <c r="N251" s="2">
        <f>SUBTOTAL(9,N178:N250)</f>
        <v>43732176.640000001</v>
      </c>
    </row>
    <row r="252" spans="1:16" outlineLevel="2">
      <c r="A252" s="1" t="s">
        <v>506</v>
      </c>
      <c r="B252" s="1" t="s">
        <v>507</v>
      </c>
      <c r="C252" s="1" t="s">
        <v>508</v>
      </c>
      <c r="D252" s="2">
        <v>-50000000</v>
      </c>
      <c r="E252" s="1" t="s">
        <v>18</v>
      </c>
      <c r="F252" s="3" t="s">
        <v>19</v>
      </c>
      <c r="G252" s="4" t="s">
        <v>20</v>
      </c>
      <c r="H252" s="1" t="s">
        <v>21</v>
      </c>
      <c r="I252" s="1" t="s">
        <v>22</v>
      </c>
      <c r="J252" s="1" t="s">
        <v>23</v>
      </c>
      <c r="K252" s="2" t="s">
        <v>24</v>
      </c>
      <c r="L252" s="1" t="s">
        <v>25</v>
      </c>
      <c r="M252" s="2" t="s">
        <v>26</v>
      </c>
      <c r="N252" s="2" t="s">
        <v>26</v>
      </c>
      <c r="O252" s="2">
        <v>-50000000</v>
      </c>
      <c r="P252" s="1" t="s">
        <v>27</v>
      </c>
    </row>
    <row r="253" spans="1:16" outlineLevel="1">
      <c r="A253" s="13" t="s">
        <v>1382</v>
      </c>
      <c r="M253" s="2">
        <f>SUBTOTAL(9,M252:M252)</f>
        <v>0</v>
      </c>
      <c r="N253" s="2">
        <f>SUBTOTAL(9,N252:N252)</f>
        <v>0</v>
      </c>
    </row>
    <row r="254" spans="1:16" outlineLevel="2">
      <c r="A254" s="1" t="s">
        <v>509</v>
      </c>
      <c r="B254" s="1" t="s">
        <v>510</v>
      </c>
      <c r="C254" s="1" t="s">
        <v>511</v>
      </c>
      <c r="D254" s="2">
        <v>-2945948</v>
      </c>
      <c r="E254" s="1" t="s">
        <v>512</v>
      </c>
      <c r="F254" s="3">
        <v>46205</v>
      </c>
      <c r="G254" s="4">
        <v>72257318</v>
      </c>
      <c r="H254" s="1" t="s">
        <v>204</v>
      </c>
      <c r="I254" s="1" t="s">
        <v>513</v>
      </c>
      <c r="J254" s="1" t="s">
        <v>514</v>
      </c>
      <c r="K254" s="2" t="s">
        <v>24</v>
      </c>
      <c r="L254" s="1" t="s">
        <v>25</v>
      </c>
      <c r="M254" s="2">
        <v>650000</v>
      </c>
      <c r="N254" s="2" t="s">
        <v>26</v>
      </c>
      <c r="O254" s="2">
        <v>-2295948</v>
      </c>
      <c r="P254" s="1" t="s">
        <v>27</v>
      </c>
    </row>
    <row r="255" spans="1:16" outlineLevel="2">
      <c r="A255" s="1" t="s">
        <v>509</v>
      </c>
      <c r="B255" s="1" t="s">
        <v>510</v>
      </c>
      <c r="C255" s="1" t="s">
        <v>511</v>
      </c>
      <c r="D255" s="2">
        <v>-2945948</v>
      </c>
      <c r="E255" s="1" t="s">
        <v>515</v>
      </c>
      <c r="F255" s="3">
        <v>46205</v>
      </c>
      <c r="G255" s="4">
        <v>72257318</v>
      </c>
      <c r="H255" s="1" t="s">
        <v>204</v>
      </c>
      <c r="I255" s="1" t="s">
        <v>516</v>
      </c>
      <c r="J255" s="1" t="s">
        <v>517</v>
      </c>
      <c r="K255" s="2" t="s">
        <v>24</v>
      </c>
      <c r="L255" s="1" t="s">
        <v>25</v>
      </c>
      <c r="M255" s="2">
        <v>732620</v>
      </c>
      <c r="N255" s="2" t="s">
        <v>26</v>
      </c>
      <c r="O255" s="2">
        <v>-1563328</v>
      </c>
      <c r="P255" s="1" t="s">
        <v>27</v>
      </c>
    </row>
    <row r="256" spans="1:16" outlineLevel="2">
      <c r="A256" s="1" t="s">
        <v>509</v>
      </c>
      <c r="B256" s="1" t="s">
        <v>510</v>
      </c>
      <c r="C256" s="1" t="s">
        <v>511</v>
      </c>
      <c r="D256" s="2">
        <v>-2945948</v>
      </c>
      <c r="E256" s="1" t="s">
        <v>518</v>
      </c>
      <c r="F256" s="3">
        <v>46217</v>
      </c>
      <c r="G256" s="4">
        <v>72257318</v>
      </c>
      <c r="H256" s="1" t="s">
        <v>204</v>
      </c>
      <c r="I256" s="1" t="s">
        <v>519</v>
      </c>
      <c r="J256" s="1" t="s">
        <v>520</v>
      </c>
      <c r="K256" s="2" t="s">
        <v>24</v>
      </c>
      <c r="L256" s="1" t="s">
        <v>25</v>
      </c>
      <c r="M256" s="2">
        <v>679385</v>
      </c>
      <c r="N256" s="2" t="s">
        <v>26</v>
      </c>
      <c r="O256" s="2">
        <v>-883943</v>
      </c>
      <c r="P256" s="1" t="s">
        <v>27</v>
      </c>
    </row>
    <row r="257" spans="1:16" outlineLevel="2">
      <c r="A257" s="1" t="s">
        <v>509</v>
      </c>
      <c r="B257" s="1" t="s">
        <v>510</v>
      </c>
      <c r="C257" s="1" t="s">
        <v>511</v>
      </c>
      <c r="D257" s="2">
        <v>-2945948</v>
      </c>
      <c r="E257" s="1" t="s">
        <v>521</v>
      </c>
      <c r="F257" s="3">
        <v>46217</v>
      </c>
      <c r="G257" s="4">
        <v>72257318</v>
      </c>
      <c r="H257" s="1" t="s">
        <v>204</v>
      </c>
      <c r="I257" s="1" t="s">
        <v>522</v>
      </c>
      <c r="J257" s="1" t="s">
        <v>523</v>
      </c>
      <c r="K257" s="2" t="s">
        <v>24</v>
      </c>
      <c r="L257" s="1" t="s">
        <v>25</v>
      </c>
      <c r="M257" s="2">
        <v>883943</v>
      </c>
      <c r="N257" s="2" t="s">
        <v>26</v>
      </c>
      <c r="O257" s="2">
        <v>0</v>
      </c>
      <c r="P257" s="1" t="s">
        <v>27</v>
      </c>
    </row>
    <row r="258" spans="1:16" outlineLevel="2">
      <c r="A258" s="1" t="s">
        <v>509</v>
      </c>
      <c r="B258" s="1" t="s">
        <v>510</v>
      </c>
      <c r="C258" s="1" t="s">
        <v>511</v>
      </c>
      <c r="D258" s="2">
        <v>-2945948</v>
      </c>
      <c r="E258" s="1" t="s">
        <v>524</v>
      </c>
      <c r="F258" s="3">
        <v>46233</v>
      </c>
      <c r="G258" s="4">
        <v>72257318</v>
      </c>
      <c r="H258" s="1" t="s">
        <v>204</v>
      </c>
      <c r="I258" s="1" t="s">
        <v>43</v>
      </c>
      <c r="J258" s="1" t="s">
        <v>525</v>
      </c>
      <c r="K258" s="2" t="s">
        <v>24</v>
      </c>
      <c r="L258" s="1" t="s">
        <v>25</v>
      </c>
      <c r="M258" s="2" t="s">
        <v>26</v>
      </c>
      <c r="N258" s="2">
        <v>150005</v>
      </c>
      <c r="O258" s="2">
        <v>-150005</v>
      </c>
      <c r="P258" s="1" t="s">
        <v>27</v>
      </c>
    </row>
    <row r="259" spans="1:16" outlineLevel="2">
      <c r="A259" s="1" t="s">
        <v>509</v>
      </c>
      <c r="B259" s="1" t="s">
        <v>510</v>
      </c>
      <c r="C259" s="1" t="s">
        <v>511</v>
      </c>
      <c r="D259" s="2">
        <v>-2945948</v>
      </c>
      <c r="E259" s="1" t="s">
        <v>526</v>
      </c>
      <c r="F259" s="3">
        <v>46233</v>
      </c>
      <c r="G259" s="4">
        <v>72257318</v>
      </c>
      <c r="H259" s="1" t="s">
        <v>204</v>
      </c>
      <c r="I259" s="1" t="s">
        <v>43</v>
      </c>
      <c r="J259" s="1" t="s">
        <v>527</v>
      </c>
      <c r="K259" s="2" t="s">
        <v>24</v>
      </c>
      <c r="L259" s="1" t="s">
        <v>25</v>
      </c>
      <c r="M259" s="2" t="s">
        <v>26</v>
      </c>
      <c r="N259" s="2">
        <v>67044</v>
      </c>
      <c r="O259" s="2">
        <v>-217049</v>
      </c>
      <c r="P259" s="1" t="s">
        <v>27</v>
      </c>
    </row>
    <row r="260" spans="1:16" outlineLevel="2">
      <c r="A260" s="1" t="s">
        <v>509</v>
      </c>
      <c r="B260" s="1" t="s">
        <v>510</v>
      </c>
      <c r="C260" s="1" t="s">
        <v>511</v>
      </c>
      <c r="D260" s="2">
        <v>-2945948</v>
      </c>
      <c r="E260" s="1" t="s">
        <v>528</v>
      </c>
      <c r="F260" s="3">
        <v>46233</v>
      </c>
      <c r="G260" s="4">
        <v>72257318</v>
      </c>
      <c r="H260" s="1" t="s">
        <v>204</v>
      </c>
      <c r="I260" s="1" t="s">
        <v>43</v>
      </c>
      <c r="J260" s="1" t="s">
        <v>529</v>
      </c>
      <c r="K260" s="2" t="s">
        <v>24</v>
      </c>
      <c r="L260" s="1" t="s">
        <v>25</v>
      </c>
      <c r="M260" s="2" t="s">
        <v>26</v>
      </c>
      <c r="N260" s="2">
        <v>1067671</v>
      </c>
      <c r="O260" s="2">
        <v>-1284720</v>
      </c>
      <c r="P260" s="1" t="s">
        <v>27</v>
      </c>
    </row>
    <row r="261" spans="1:16" outlineLevel="2">
      <c r="A261" s="1" t="s">
        <v>509</v>
      </c>
      <c r="B261" s="1" t="s">
        <v>510</v>
      </c>
      <c r="C261" s="1" t="s">
        <v>511</v>
      </c>
      <c r="D261" s="2">
        <v>-2945948</v>
      </c>
      <c r="E261" s="1" t="s">
        <v>530</v>
      </c>
      <c r="F261" s="3">
        <v>46233</v>
      </c>
      <c r="G261" s="4">
        <v>72257318</v>
      </c>
      <c r="H261" s="1" t="s">
        <v>204</v>
      </c>
      <c r="I261" s="1" t="s">
        <v>43</v>
      </c>
      <c r="J261" s="1" t="s">
        <v>531</v>
      </c>
      <c r="K261" s="2" t="s">
        <v>24</v>
      </c>
      <c r="L261" s="1" t="s">
        <v>25</v>
      </c>
      <c r="M261" s="2" t="s">
        <v>26</v>
      </c>
      <c r="N261" s="2">
        <v>987795</v>
      </c>
      <c r="O261" s="2">
        <v>-2272515</v>
      </c>
      <c r="P261" s="1" t="s">
        <v>27</v>
      </c>
    </row>
    <row r="262" spans="1:16" outlineLevel="2">
      <c r="A262" s="1" t="s">
        <v>509</v>
      </c>
      <c r="B262" s="1" t="s">
        <v>510</v>
      </c>
      <c r="C262" s="1" t="s">
        <v>511</v>
      </c>
      <c r="D262" s="2">
        <v>-2945948</v>
      </c>
      <c r="E262" s="1" t="s">
        <v>532</v>
      </c>
      <c r="F262" s="3">
        <v>46234</v>
      </c>
      <c r="G262" s="4">
        <v>72257318</v>
      </c>
      <c r="H262" s="1" t="s">
        <v>204</v>
      </c>
      <c r="I262" s="1" t="s">
        <v>43</v>
      </c>
      <c r="J262" s="1" t="s">
        <v>533</v>
      </c>
      <c r="K262" s="2" t="s">
        <v>24</v>
      </c>
      <c r="L262" s="1" t="s">
        <v>25</v>
      </c>
      <c r="M262" s="2" t="s">
        <v>26</v>
      </c>
      <c r="N262" s="2">
        <v>1114117</v>
      </c>
      <c r="O262" s="2">
        <v>-3386632</v>
      </c>
      <c r="P262" s="1" t="s">
        <v>27</v>
      </c>
    </row>
    <row r="263" spans="1:16" outlineLevel="2">
      <c r="A263" s="1" t="s">
        <v>509</v>
      </c>
      <c r="B263" s="1" t="s">
        <v>510</v>
      </c>
      <c r="C263" s="1" t="s">
        <v>511</v>
      </c>
      <c r="D263" s="2">
        <v>-2945948</v>
      </c>
      <c r="E263" s="1" t="s">
        <v>534</v>
      </c>
      <c r="F263" s="3">
        <v>46234</v>
      </c>
      <c r="G263" s="4">
        <v>72257318</v>
      </c>
      <c r="H263" s="1" t="s">
        <v>204</v>
      </c>
      <c r="I263" s="1" t="s">
        <v>43</v>
      </c>
      <c r="J263" s="1" t="s">
        <v>535</v>
      </c>
      <c r="K263" s="2" t="s">
        <v>24</v>
      </c>
      <c r="L263" s="1" t="s">
        <v>25</v>
      </c>
      <c r="M263" s="2" t="s">
        <v>26</v>
      </c>
      <c r="N263" s="2">
        <v>721441</v>
      </c>
      <c r="O263" s="2">
        <v>-4108073</v>
      </c>
      <c r="P263" s="1" t="s">
        <v>27</v>
      </c>
    </row>
    <row r="264" spans="1:16" outlineLevel="1">
      <c r="A264" s="13" t="s">
        <v>1383</v>
      </c>
      <c r="M264" s="2">
        <f>SUBTOTAL(9,M254:M263)</f>
        <v>2945948</v>
      </c>
      <c r="N264" s="2">
        <f>SUBTOTAL(9,N254:N263)</f>
        <v>4108073</v>
      </c>
    </row>
    <row r="265" spans="1:16" outlineLevel="2">
      <c r="A265" s="1" t="s">
        <v>536</v>
      </c>
      <c r="B265" s="1" t="s">
        <v>537</v>
      </c>
      <c r="C265" s="1" t="s">
        <v>538</v>
      </c>
      <c r="D265" s="2">
        <v>-1740000</v>
      </c>
      <c r="E265" s="1" t="s">
        <v>539</v>
      </c>
      <c r="F265" s="3">
        <v>46226</v>
      </c>
      <c r="G265" s="4">
        <v>800197268</v>
      </c>
      <c r="H265" s="1" t="s">
        <v>540</v>
      </c>
      <c r="I265" s="1" t="s">
        <v>541</v>
      </c>
      <c r="J265" s="1" t="s">
        <v>542</v>
      </c>
      <c r="K265" s="2" t="s">
        <v>24</v>
      </c>
      <c r="L265" s="1" t="s">
        <v>25</v>
      </c>
      <c r="M265" s="2">
        <v>1740000</v>
      </c>
      <c r="N265" s="2" t="s">
        <v>26</v>
      </c>
      <c r="O265" s="2">
        <v>0</v>
      </c>
      <c r="P265" s="1" t="s">
        <v>27</v>
      </c>
    </row>
    <row r="266" spans="1:16" outlineLevel="1">
      <c r="A266" s="13" t="s">
        <v>1384</v>
      </c>
      <c r="M266" s="2">
        <f>SUBTOTAL(9,M265:M265)</f>
        <v>1740000</v>
      </c>
      <c r="N266" s="2">
        <f>SUBTOTAL(9,N265:N265)</f>
        <v>0</v>
      </c>
    </row>
    <row r="267" spans="1:16" outlineLevel="2">
      <c r="A267" s="1" t="s">
        <v>543</v>
      </c>
      <c r="B267" s="1" t="s">
        <v>544</v>
      </c>
      <c r="C267" s="1" t="s">
        <v>545</v>
      </c>
      <c r="D267" s="2">
        <v>0</v>
      </c>
      <c r="E267" s="1" t="s">
        <v>546</v>
      </c>
      <c r="F267" s="3" t="s">
        <v>19</v>
      </c>
      <c r="G267" s="4">
        <v>0</v>
      </c>
      <c r="H267" s="1" t="s">
        <v>21</v>
      </c>
      <c r="I267" s="1" t="s">
        <v>22</v>
      </c>
      <c r="J267" s="1" t="s">
        <v>23</v>
      </c>
      <c r="K267" s="2" t="s">
        <v>24</v>
      </c>
      <c r="L267" s="1" t="s">
        <v>25</v>
      </c>
      <c r="M267" s="2">
        <v>0</v>
      </c>
      <c r="N267" s="2">
        <v>0</v>
      </c>
      <c r="O267" s="2">
        <v>0</v>
      </c>
      <c r="P267" s="1" t="s">
        <v>27</v>
      </c>
    </row>
    <row r="268" spans="1:16" outlineLevel="1">
      <c r="A268" s="13" t="s">
        <v>1385</v>
      </c>
      <c r="M268" s="2">
        <f>SUBTOTAL(9,M267:M267)</f>
        <v>0</v>
      </c>
      <c r="N268" s="2">
        <f>SUBTOTAL(9,N267:N267)</f>
        <v>0</v>
      </c>
    </row>
    <row r="269" spans="1:16" outlineLevel="2">
      <c r="A269" s="1" t="s">
        <v>547</v>
      </c>
      <c r="B269" s="1" t="s">
        <v>548</v>
      </c>
      <c r="C269" s="1" t="s">
        <v>549</v>
      </c>
      <c r="D269" s="2">
        <v>0</v>
      </c>
      <c r="E269" s="1" t="s">
        <v>550</v>
      </c>
      <c r="F269" s="3">
        <v>46205</v>
      </c>
      <c r="G269" s="4">
        <v>802013446</v>
      </c>
      <c r="H269" s="1" t="s">
        <v>200</v>
      </c>
      <c r="I269" s="1" t="s">
        <v>201</v>
      </c>
      <c r="J269" s="1" t="s">
        <v>23</v>
      </c>
      <c r="K269" s="2">
        <v>6375000</v>
      </c>
      <c r="L269" s="1" t="s">
        <v>25</v>
      </c>
      <c r="M269" s="2" t="s">
        <v>26</v>
      </c>
      <c r="N269" s="2">
        <v>701250</v>
      </c>
      <c r="O269" s="2">
        <v>-701250</v>
      </c>
      <c r="P269" s="1" t="s">
        <v>27</v>
      </c>
    </row>
    <row r="270" spans="1:16" outlineLevel="2">
      <c r="A270" s="1" t="s">
        <v>547</v>
      </c>
      <c r="B270" s="1" t="s">
        <v>548</v>
      </c>
      <c r="C270" s="1" t="s">
        <v>549</v>
      </c>
      <c r="D270" s="2">
        <v>0</v>
      </c>
      <c r="E270" s="1" t="s">
        <v>551</v>
      </c>
      <c r="F270" s="3">
        <v>46219</v>
      </c>
      <c r="G270" s="4">
        <v>901047340</v>
      </c>
      <c r="H270" s="1" t="s">
        <v>407</v>
      </c>
      <c r="I270" s="1" t="s">
        <v>552</v>
      </c>
      <c r="J270" s="1" t="s">
        <v>23</v>
      </c>
      <c r="K270" s="2">
        <v>500000</v>
      </c>
      <c r="L270" s="1" t="s">
        <v>25</v>
      </c>
      <c r="M270" s="2" t="s">
        <v>26</v>
      </c>
      <c r="N270" s="2">
        <v>55000</v>
      </c>
      <c r="O270" s="2">
        <v>-756250</v>
      </c>
      <c r="P270" s="1" t="s">
        <v>27</v>
      </c>
    </row>
    <row r="271" spans="1:16" outlineLevel="2">
      <c r="A271" s="1" t="s">
        <v>547</v>
      </c>
      <c r="B271" s="1" t="s">
        <v>548</v>
      </c>
      <c r="C271" s="1" t="s">
        <v>549</v>
      </c>
      <c r="D271" s="2">
        <v>0</v>
      </c>
      <c r="E271" s="1" t="s">
        <v>553</v>
      </c>
      <c r="F271" s="3">
        <v>46219</v>
      </c>
      <c r="G271" s="4">
        <v>901047340</v>
      </c>
      <c r="H271" s="1" t="s">
        <v>407</v>
      </c>
      <c r="I271" s="1" t="s">
        <v>554</v>
      </c>
      <c r="J271" s="1" t="s">
        <v>23</v>
      </c>
      <c r="K271" s="2">
        <v>500000</v>
      </c>
      <c r="L271" s="1" t="s">
        <v>25</v>
      </c>
      <c r="M271" s="2" t="s">
        <v>26</v>
      </c>
      <c r="N271" s="2">
        <v>55000</v>
      </c>
      <c r="O271" s="2">
        <v>-811250</v>
      </c>
      <c r="P271" s="1" t="s">
        <v>27</v>
      </c>
    </row>
    <row r="272" spans="1:16" outlineLevel="1">
      <c r="A272" s="13" t="s">
        <v>1386</v>
      </c>
      <c r="M272" s="2">
        <f>SUBTOTAL(9,M269:M271)</f>
        <v>0</v>
      </c>
      <c r="N272" s="2">
        <f>SUBTOTAL(9,N269:N271)</f>
        <v>811250</v>
      </c>
    </row>
    <row r="273" spans="1:16" outlineLevel="2">
      <c r="A273" s="1" t="s">
        <v>555</v>
      </c>
      <c r="B273" s="1" t="s">
        <v>556</v>
      </c>
      <c r="C273" s="1" t="s">
        <v>228</v>
      </c>
      <c r="D273" s="2">
        <v>0</v>
      </c>
      <c r="E273" s="1" t="s">
        <v>557</v>
      </c>
      <c r="F273" s="3">
        <v>46210</v>
      </c>
      <c r="G273" s="4">
        <v>8738279</v>
      </c>
      <c r="H273" s="1" t="s">
        <v>352</v>
      </c>
      <c r="I273" s="1" t="s">
        <v>356</v>
      </c>
      <c r="J273" s="1" t="s">
        <v>23</v>
      </c>
      <c r="K273" s="2">
        <v>5000000</v>
      </c>
      <c r="L273" s="1" t="s">
        <v>25</v>
      </c>
      <c r="M273" s="2" t="s">
        <v>26</v>
      </c>
      <c r="N273" s="2">
        <v>200000</v>
      </c>
      <c r="O273" s="2">
        <v>-200000</v>
      </c>
      <c r="P273" s="1" t="s">
        <v>27</v>
      </c>
    </row>
    <row r="274" spans="1:16" outlineLevel="2">
      <c r="A274" s="1" t="s">
        <v>555</v>
      </c>
      <c r="B274" s="1" t="s">
        <v>556</v>
      </c>
      <c r="C274" s="1" t="s">
        <v>228</v>
      </c>
      <c r="D274" s="2">
        <v>0</v>
      </c>
      <c r="E274" s="1" t="s">
        <v>558</v>
      </c>
      <c r="F274" s="3">
        <v>46212</v>
      </c>
      <c r="G274" s="4">
        <v>8765600</v>
      </c>
      <c r="H274" s="1" t="s">
        <v>365</v>
      </c>
      <c r="I274" s="1" t="s">
        <v>559</v>
      </c>
      <c r="J274" s="1" t="s">
        <v>23</v>
      </c>
      <c r="K274" s="2">
        <v>315000</v>
      </c>
      <c r="L274" s="1" t="s">
        <v>25</v>
      </c>
      <c r="M274" s="2" t="s">
        <v>26</v>
      </c>
      <c r="N274" s="2">
        <v>12600</v>
      </c>
      <c r="O274" s="2">
        <v>-212600</v>
      </c>
      <c r="P274" s="1" t="s">
        <v>27</v>
      </c>
    </row>
    <row r="275" spans="1:16" outlineLevel="2">
      <c r="A275" s="1" t="s">
        <v>555</v>
      </c>
      <c r="B275" s="1" t="s">
        <v>556</v>
      </c>
      <c r="C275" s="1" t="s">
        <v>228</v>
      </c>
      <c r="D275" s="2">
        <v>0</v>
      </c>
      <c r="E275" s="1" t="s">
        <v>560</v>
      </c>
      <c r="F275" s="3">
        <v>46213</v>
      </c>
      <c r="G275" s="4">
        <v>901465587</v>
      </c>
      <c r="H275" s="1" t="s">
        <v>377</v>
      </c>
      <c r="I275" s="1" t="s">
        <v>561</v>
      </c>
      <c r="J275" s="1" t="s">
        <v>23</v>
      </c>
      <c r="K275" s="2">
        <v>1250000</v>
      </c>
      <c r="L275" s="1" t="s">
        <v>25</v>
      </c>
      <c r="M275" s="2" t="s">
        <v>26</v>
      </c>
      <c r="N275" s="2">
        <v>50000</v>
      </c>
      <c r="O275" s="2">
        <v>-262600</v>
      </c>
      <c r="P275" s="1" t="s">
        <v>27</v>
      </c>
    </row>
    <row r="276" spans="1:16" outlineLevel="1">
      <c r="A276" s="13" t="s">
        <v>1387</v>
      </c>
      <c r="M276" s="2">
        <f>SUBTOTAL(9,M273:M275)</f>
        <v>0</v>
      </c>
      <c r="N276" s="2">
        <f>SUBTOTAL(9,N273:N275)</f>
        <v>262600</v>
      </c>
    </row>
    <row r="277" spans="1:16" outlineLevel="2">
      <c r="A277" s="1" t="s">
        <v>562</v>
      </c>
      <c r="B277" s="1" t="s">
        <v>563</v>
      </c>
      <c r="C277" s="1" t="s">
        <v>564</v>
      </c>
      <c r="D277" s="2">
        <v>0</v>
      </c>
      <c r="E277" s="1" t="s">
        <v>565</v>
      </c>
      <c r="F277" s="3">
        <v>46204</v>
      </c>
      <c r="G277" s="4">
        <v>8799534</v>
      </c>
      <c r="H277" s="1" t="s">
        <v>337</v>
      </c>
      <c r="I277" s="1" t="s">
        <v>338</v>
      </c>
      <c r="J277" s="1" t="s">
        <v>23</v>
      </c>
      <c r="K277" s="2">
        <v>1750000</v>
      </c>
      <c r="L277" s="1" t="s">
        <v>25</v>
      </c>
      <c r="M277" s="2" t="s">
        <v>26</v>
      </c>
      <c r="N277" s="2">
        <v>105000</v>
      </c>
      <c r="O277" s="2">
        <v>-105000</v>
      </c>
      <c r="P277" s="1" t="s">
        <v>27</v>
      </c>
    </row>
    <row r="278" spans="1:16" outlineLevel="2">
      <c r="A278" s="1" t="s">
        <v>562</v>
      </c>
      <c r="B278" s="1" t="s">
        <v>563</v>
      </c>
      <c r="C278" s="1" t="s">
        <v>564</v>
      </c>
      <c r="D278" s="2">
        <v>0</v>
      </c>
      <c r="E278" s="1" t="s">
        <v>566</v>
      </c>
      <c r="F278" s="3">
        <v>46213</v>
      </c>
      <c r="G278" s="4">
        <v>72311773</v>
      </c>
      <c r="H278" s="1" t="s">
        <v>208</v>
      </c>
      <c r="I278" s="1" t="s">
        <v>209</v>
      </c>
      <c r="J278" s="1" t="s">
        <v>23</v>
      </c>
      <c r="K278" s="2">
        <v>1000000</v>
      </c>
      <c r="L278" s="1" t="s">
        <v>25</v>
      </c>
      <c r="M278" s="2" t="s">
        <v>26</v>
      </c>
      <c r="N278" s="2">
        <v>60000</v>
      </c>
      <c r="O278" s="2">
        <v>-165000</v>
      </c>
      <c r="P278" s="1" t="s">
        <v>27</v>
      </c>
    </row>
    <row r="279" spans="1:16" outlineLevel="2">
      <c r="A279" s="1" t="s">
        <v>562</v>
      </c>
      <c r="B279" s="1" t="s">
        <v>563</v>
      </c>
      <c r="C279" s="1" t="s">
        <v>564</v>
      </c>
      <c r="D279" s="2">
        <v>0</v>
      </c>
      <c r="E279" s="1" t="s">
        <v>567</v>
      </c>
      <c r="F279" s="3">
        <v>46219</v>
      </c>
      <c r="G279" s="4">
        <v>8799534</v>
      </c>
      <c r="H279" s="1" t="s">
        <v>337</v>
      </c>
      <c r="I279" s="1" t="s">
        <v>402</v>
      </c>
      <c r="J279" s="1" t="s">
        <v>23</v>
      </c>
      <c r="K279" s="2">
        <v>1750000</v>
      </c>
      <c r="L279" s="1" t="s">
        <v>25</v>
      </c>
      <c r="M279" s="2" t="s">
        <v>26</v>
      </c>
      <c r="N279" s="2">
        <v>105000</v>
      </c>
      <c r="O279" s="2">
        <v>-270000</v>
      </c>
      <c r="P279" s="1" t="s">
        <v>27</v>
      </c>
    </row>
    <row r="280" spans="1:16" outlineLevel="2">
      <c r="A280" s="1" t="s">
        <v>562</v>
      </c>
      <c r="B280" s="1" t="s">
        <v>563</v>
      </c>
      <c r="C280" s="1" t="s">
        <v>564</v>
      </c>
      <c r="D280" s="2">
        <v>0</v>
      </c>
      <c r="E280" s="1" t="s">
        <v>568</v>
      </c>
      <c r="F280" s="3">
        <v>46224</v>
      </c>
      <c r="G280" s="4">
        <v>72045410</v>
      </c>
      <c r="H280" s="1" t="s">
        <v>413</v>
      </c>
      <c r="I280" s="1" t="s">
        <v>430</v>
      </c>
      <c r="J280" s="1" t="s">
        <v>23</v>
      </c>
      <c r="K280" s="2">
        <v>1750000</v>
      </c>
      <c r="L280" s="1" t="s">
        <v>25</v>
      </c>
      <c r="M280" s="2" t="s">
        <v>26</v>
      </c>
      <c r="N280" s="2">
        <v>105000</v>
      </c>
      <c r="O280" s="2">
        <v>-375000</v>
      </c>
      <c r="P280" s="1" t="s">
        <v>27</v>
      </c>
    </row>
    <row r="281" spans="1:16" outlineLevel="2">
      <c r="A281" s="1" t="s">
        <v>562</v>
      </c>
      <c r="B281" s="1" t="s">
        <v>563</v>
      </c>
      <c r="C281" s="1" t="s">
        <v>564</v>
      </c>
      <c r="D281" s="2">
        <v>0</v>
      </c>
      <c r="E281" s="1" t="s">
        <v>569</v>
      </c>
      <c r="F281" s="3">
        <v>46230</v>
      </c>
      <c r="G281" s="4">
        <v>72045410</v>
      </c>
      <c r="H281" s="1" t="s">
        <v>413</v>
      </c>
      <c r="I281" s="1" t="s">
        <v>436</v>
      </c>
      <c r="J281" s="1" t="s">
        <v>23</v>
      </c>
      <c r="K281" s="2">
        <v>1750000</v>
      </c>
      <c r="L281" s="1" t="s">
        <v>25</v>
      </c>
      <c r="M281" s="2" t="s">
        <v>26</v>
      </c>
      <c r="N281" s="2">
        <v>105000</v>
      </c>
      <c r="O281" s="2">
        <v>-480000</v>
      </c>
      <c r="P281" s="1" t="s">
        <v>27</v>
      </c>
    </row>
    <row r="282" spans="1:16" outlineLevel="2">
      <c r="A282" s="1" t="s">
        <v>562</v>
      </c>
      <c r="B282" s="1" t="s">
        <v>563</v>
      </c>
      <c r="C282" s="1" t="s">
        <v>564</v>
      </c>
      <c r="D282" s="2">
        <v>0</v>
      </c>
      <c r="E282" s="1" t="s">
        <v>570</v>
      </c>
      <c r="F282" s="3">
        <v>46233</v>
      </c>
      <c r="G282" s="4">
        <v>32785411</v>
      </c>
      <c r="H282" s="1" t="s">
        <v>479</v>
      </c>
      <c r="I282" s="1" t="s">
        <v>480</v>
      </c>
      <c r="J282" s="1" t="s">
        <v>23</v>
      </c>
      <c r="K282" s="2">
        <v>150000</v>
      </c>
      <c r="L282" s="1" t="s">
        <v>25</v>
      </c>
      <c r="M282" s="2" t="s">
        <v>26</v>
      </c>
      <c r="N282" s="2">
        <v>9000</v>
      </c>
      <c r="O282" s="2">
        <v>-489000</v>
      </c>
      <c r="P282" s="1" t="s">
        <v>27</v>
      </c>
    </row>
    <row r="283" spans="1:16" outlineLevel="1">
      <c r="A283" s="13" t="s">
        <v>1388</v>
      </c>
      <c r="M283" s="2">
        <f>SUBTOTAL(9,M277:M282)</f>
        <v>0</v>
      </c>
      <c r="N283" s="2">
        <f>SUBTOTAL(9,N277:N282)</f>
        <v>489000</v>
      </c>
    </row>
    <row r="284" spans="1:16" outlineLevel="2">
      <c r="A284" s="1" t="s">
        <v>571</v>
      </c>
      <c r="B284" s="1" t="s">
        <v>572</v>
      </c>
      <c r="C284" s="1" t="s">
        <v>573</v>
      </c>
      <c r="D284" s="2">
        <v>0</v>
      </c>
      <c r="E284" s="1" t="s">
        <v>546</v>
      </c>
      <c r="F284" s="3" t="s">
        <v>19</v>
      </c>
      <c r="G284" s="4">
        <v>0</v>
      </c>
      <c r="H284" s="1" t="s">
        <v>21</v>
      </c>
      <c r="I284" s="1" t="s">
        <v>22</v>
      </c>
      <c r="J284" s="1" t="s">
        <v>23</v>
      </c>
      <c r="K284" s="2" t="s">
        <v>24</v>
      </c>
      <c r="L284" s="1" t="s">
        <v>25</v>
      </c>
      <c r="M284" s="2">
        <v>0</v>
      </c>
      <c r="N284" s="2">
        <v>0</v>
      </c>
      <c r="O284" s="2">
        <v>0</v>
      </c>
      <c r="P284" s="1" t="s">
        <v>27</v>
      </c>
    </row>
    <row r="285" spans="1:16" outlineLevel="1">
      <c r="A285" s="13" t="s">
        <v>1389</v>
      </c>
      <c r="M285" s="2">
        <f>SUBTOTAL(9,M284:M284)</f>
        <v>0</v>
      </c>
      <c r="N285" s="2">
        <f>SUBTOTAL(9,N284:N284)</f>
        <v>0</v>
      </c>
    </row>
    <row r="286" spans="1:16" outlineLevel="2">
      <c r="A286" s="1" t="s">
        <v>574</v>
      </c>
      <c r="B286" s="1" t="s">
        <v>575</v>
      </c>
      <c r="C286" s="1" t="s">
        <v>576</v>
      </c>
      <c r="D286" s="2">
        <v>0</v>
      </c>
      <c r="E286" s="1" t="s">
        <v>546</v>
      </c>
      <c r="F286" s="3" t="s">
        <v>19</v>
      </c>
      <c r="G286" s="4">
        <v>0</v>
      </c>
      <c r="H286" s="1" t="s">
        <v>21</v>
      </c>
      <c r="I286" s="1" t="s">
        <v>22</v>
      </c>
      <c r="J286" s="1" t="s">
        <v>23</v>
      </c>
      <c r="K286" s="2" t="s">
        <v>24</v>
      </c>
      <c r="L286" s="1" t="s">
        <v>25</v>
      </c>
      <c r="M286" s="2">
        <v>0</v>
      </c>
      <c r="N286" s="2">
        <v>0</v>
      </c>
      <c r="O286" s="2">
        <v>0</v>
      </c>
      <c r="P286" s="1" t="s">
        <v>27</v>
      </c>
    </row>
    <row r="287" spans="1:16" outlineLevel="1">
      <c r="A287" s="13" t="s">
        <v>1390</v>
      </c>
      <c r="M287" s="2">
        <f>SUBTOTAL(9,M286:M286)</f>
        <v>0</v>
      </c>
      <c r="N287" s="2">
        <f>SUBTOTAL(9,N286:N286)</f>
        <v>0</v>
      </c>
    </row>
    <row r="288" spans="1:16" outlineLevel="2">
      <c r="A288" s="1" t="s">
        <v>577</v>
      </c>
      <c r="B288" s="1" t="s">
        <v>578</v>
      </c>
      <c r="C288" s="1" t="s">
        <v>579</v>
      </c>
      <c r="D288" s="2">
        <v>0</v>
      </c>
      <c r="E288" s="1" t="s">
        <v>546</v>
      </c>
      <c r="F288" s="3" t="s">
        <v>19</v>
      </c>
      <c r="G288" s="4">
        <v>0</v>
      </c>
      <c r="H288" s="1" t="s">
        <v>21</v>
      </c>
      <c r="I288" s="1" t="s">
        <v>22</v>
      </c>
      <c r="J288" s="1" t="s">
        <v>23</v>
      </c>
      <c r="K288" s="2" t="s">
        <v>24</v>
      </c>
      <c r="L288" s="1" t="s">
        <v>25</v>
      </c>
      <c r="M288" s="2">
        <v>0</v>
      </c>
      <c r="N288" s="2">
        <v>0</v>
      </c>
      <c r="O288" s="2">
        <v>0</v>
      </c>
      <c r="P288" s="1" t="s">
        <v>27</v>
      </c>
    </row>
    <row r="289" spans="1:16" outlineLevel="1">
      <c r="A289" s="13" t="s">
        <v>1391</v>
      </c>
      <c r="M289" s="2">
        <f>SUBTOTAL(9,M288:M288)</f>
        <v>0</v>
      </c>
      <c r="N289" s="2">
        <f>SUBTOTAL(9,N288:N288)</f>
        <v>0</v>
      </c>
    </row>
    <row r="290" spans="1:16" outlineLevel="2">
      <c r="A290" s="1" t="s">
        <v>580</v>
      </c>
      <c r="B290" s="1" t="s">
        <v>581</v>
      </c>
      <c r="C290" s="1" t="s">
        <v>582</v>
      </c>
      <c r="D290" s="2">
        <v>0</v>
      </c>
      <c r="E290" s="1" t="s">
        <v>546</v>
      </c>
      <c r="F290" s="3" t="s">
        <v>19</v>
      </c>
      <c r="G290" s="4">
        <v>0</v>
      </c>
      <c r="H290" s="1" t="s">
        <v>21</v>
      </c>
      <c r="I290" s="1" t="s">
        <v>22</v>
      </c>
      <c r="J290" s="1" t="s">
        <v>23</v>
      </c>
      <c r="K290" s="2" t="s">
        <v>24</v>
      </c>
      <c r="L290" s="1" t="s">
        <v>25</v>
      </c>
      <c r="M290" s="2">
        <v>0</v>
      </c>
      <c r="N290" s="2">
        <v>0</v>
      </c>
      <c r="O290" s="2">
        <v>0</v>
      </c>
      <c r="P290" s="1" t="s">
        <v>27</v>
      </c>
    </row>
    <row r="291" spans="1:16" outlineLevel="1">
      <c r="A291" s="13" t="s">
        <v>1392</v>
      </c>
      <c r="M291" s="2">
        <f>SUBTOTAL(9,M290:M290)</f>
        <v>0</v>
      </c>
      <c r="N291" s="2">
        <f>SUBTOTAL(9,N290:N290)</f>
        <v>0</v>
      </c>
    </row>
    <row r="292" spans="1:16" outlineLevel="2">
      <c r="A292" s="1" t="s">
        <v>583</v>
      </c>
      <c r="B292" s="1" t="s">
        <v>584</v>
      </c>
      <c r="C292" s="1" t="s">
        <v>585</v>
      </c>
      <c r="D292" s="2">
        <v>0</v>
      </c>
      <c r="E292" s="1" t="s">
        <v>546</v>
      </c>
      <c r="F292" s="3" t="s">
        <v>19</v>
      </c>
      <c r="G292" s="4">
        <v>0</v>
      </c>
      <c r="H292" s="1" t="s">
        <v>21</v>
      </c>
      <c r="I292" s="1" t="s">
        <v>22</v>
      </c>
      <c r="J292" s="1" t="s">
        <v>23</v>
      </c>
      <c r="K292" s="2" t="s">
        <v>24</v>
      </c>
      <c r="L292" s="1" t="s">
        <v>25</v>
      </c>
      <c r="M292" s="2">
        <v>0</v>
      </c>
      <c r="N292" s="2">
        <v>0</v>
      </c>
      <c r="O292" s="2">
        <v>0</v>
      </c>
      <c r="P292" s="1" t="s">
        <v>27</v>
      </c>
    </row>
    <row r="293" spans="1:16" outlineLevel="1">
      <c r="A293" s="13" t="s">
        <v>1393</v>
      </c>
      <c r="M293" s="2">
        <f>SUBTOTAL(9,M292:M292)</f>
        <v>0</v>
      </c>
      <c r="N293" s="2">
        <f>SUBTOTAL(9,N292:N292)</f>
        <v>0</v>
      </c>
    </row>
    <row r="294" spans="1:16" outlineLevel="2">
      <c r="A294" s="1" t="s">
        <v>586</v>
      </c>
      <c r="B294" s="1" t="s">
        <v>587</v>
      </c>
      <c r="C294" s="1" t="s">
        <v>588</v>
      </c>
      <c r="D294" s="2">
        <v>0</v>
      </c>
      <c r="E294" s="1" t="s">
        <v>546</v>
      </c>
      <c r="F294" s="3" t="s">
        <v>19</v>
      </c>
      <c r="G294" s="4">
        <v>0</v>
      </c>
      <c r="H294" s="1" t="s">
        <v>21</v>
      </c>
      <c r="I294" s="1" t="s">
        <v>22</v>
      </c>
      <c r="J294" s="1" t="s">
        <v>23</v>
      </c>
      <c r="K294" s="2" t="s">
        <v>24</v>
      </c>
      <c r="L294" s="1" t="s">
        <v>25</v>
      </c>
      <c r="M294" s="2">
        <v>0</v>
      </c>
      <c r="N294" s="2">
        <v>0</v>
      </c>
      <c r="O294" s="2">
        <v>0</v>
      </c>
      <c r="P294" s="1" t="s">
        <v>27</v>
      </c>
    </row>
    <row r="295" spans="1:16" outlineLevel="1">
      <c r="A295" s="13" t="s">
        <v>1394</v>
      </c>
      <c r="M295" s="2">
        <f>SUBTOTAL(9,M294:M294)</f>
        <v>0</v>
      </c>
      <c r="N295" s="2">
        <f>SUBTOTAL(9,N294:N294)</f>
        <v>0</v>
      </c>
    </row>
    <row r="296" spans="1:16" outlineLevel="2">
      <c r="A296" s="1" t="s">
        <v>589</v>
      </c>
      <c r="B296" s="1" t="s">
        <v>590</v>
      </c>
      <c r="C296" s="1" t="s">
        <v>591</v>
      </c>
      <c r="D296" s="2">
        <v>0</v>
      </c>
      <c r="E296" s="1" t="s">
        <v>592</v>
      </c>
      <c r="F296" s="3">
        <v>46219</v>
      </c>
      <c r="G296" s="4">
        <v>901075452</v>
      </c>
      <c r="H296" s="1" t="s">
        <v>593</v>
      </c>
      <c r="I296" s="1" t="s">
        <v>594</v>
      </c>
      <c r="J296" s="1" t="s">
        <v>23</v>
      </c>
      <c r="K296" s="2">
        <v>50000</v>
      </c>
      <c r="L296" s="1" t="s">
        <v>25</v>
      </c>
      <c r="M296" s="2" t="s">
        <v>26</v>
      </c>
      <c r="N296" s="2">
        <v>50</v>
      </c>
      <c r="O296" s="2">
        <v>-50</v>
      </c>
      <c r="P296" s="1" t="s">
        <v>27</v>
      </c>
    </row>
    <row r="297" spans="1:16" outlineLevel="2">
      <c r="A297" s="1" t="s">
        <v>589</v>
      </c>
      <c r="B297" s="1" t="s">
        <v>590</v>
      </c>
      <c r="C297" s="1" t="s">
        <v>591</v>
      </c>
      <c r="D297" s="2">
        <v>0</v>
      </c>
      <c r="E297" s="1" t="s">
        <v>595</v>
      </c>
      <c r="F297" s="3">
        <v>46233</v>
      </c>
      <c r="G297" s="4">
        <v>802017066</v>
      </c>
      <c r="H297" s="1" t="s">
        <v>596</v>
      </c>
      <c r="I297" s="1" t="s">
        <v>597</v>
      </c>
      <c r="J297" s="1" t="s">
        <v>23</v>
      </c>
      <c r="K297" s="2">
        <v>100000</v>
      </c>
      <c r="L297" s="1" t="s">
        <v>25</v>
      </c>
      <c r="M297" s="2" t="s">
        <v>26</v>
      </c>
      <c r="N297" s="2">
        <v>100</v>
      </c>
      <c r="O297" s="2">
        <v>-150</v>
      </c>
      <c r="P297" s="1" t="s">
        <v>27</v>
      </c>
    </row>
    <row r="298" spans="1:16" outlineLevel="2">
      <c r="A298" s="1" t="s">
        <v>589</v>
      </c>
      <c r="B298" s="1" t="s">
        <v>590</v>
      </c>
      <c r="C298" s="1" t="s">
        <v>591</v>
      </c>
      <c r="D298" s="2">
        <v>0</v>
      </c>
      <c r="E298" s="1" t="s">
        <v>598</v>
      </c>
      <c r="F298" s="3">
        <v>46233</v>
      </c>
      <c r="G298" s="4">
        <v>901075452</v>
      </c>
      <c r="H298" s="1" t="s">
        <v>593</v>
      </c>
      <c r="I298" s="1" t="s">
        <v>599</v>
      </c>
      <c r="J298" s="1" t="s">
        <v>23</v>
      </c>
      <c r="K298" s="2">
        <v>100000</v>
      </c>
      <c r="L298" s="1" t="s">
        <v>25</v>
      </c>
      <c r="M298" s="2" t="s">
        <v>26</v>
      </c>
      <c r="N298" s="2">
        <v>100</v>
      </c>
      <c r="O298" s="2">
        <v>-250</v>
      </c>
      <c r="P298" s="1" t="s">
        <v>27</v>
      </c>
    </row>
    <row r="299" spans="1:16" outlineLevel="2">
      <c r="A299" s="1" t="s">
        <v>589</v>
      </c>
      <c r="B299" s="1" t="s">
        <v>590</v>
      </c>
      <c r="C299" s="1" t="s">
        <v>591</v>
      </c>
      <c r="D299" s="2">
        <v>0</v>
      </c>
      <c r="E299" s="1" t="s">
        <v>600</v>
      </c>
      <c r="F299" s="3">
        <v>46233</v>
      </c>
      <c r="G299" s="4">
        <v>901075452</v>
      </c>
      <c r="H299" s="1" t="s">
        <v>593</v>
      </c>
      <c r="I299" s="1" t="s">
        <v>601</v>
      </c>
      <c r="J299" s="1" t="s">
        <v>23</v>
      </c>
      <c r="K299" s="2">
        <v>120000</v>
      </c>
      <c r="L299" s="1" t="s">
        <v>25</v>
      </c>
      <c r="M299" s="2" t="s">
        <v>26</v>
      </c>
      <c r="N299" s="2">
        <v>120</v>
      </c>
      <c r="O299" s="2">
        <v>-370</v>
      </c>
      <c r="P299" s="1" t="s">
        <v>27</v>
      </c>
    </row>
    <row r="300" spans="1:16" outlineLevel="2">
      <c r="A300" s="1" t="s">
        <v>589</v>
      </c>
      <c r="B300" s="1" t="s">
        <v>590</v>
      </c>
      <c r="C300" s="1" t="s">
        <v>591</v>
      </c>
      <c r="D300" s="2">
        <v>0</v>
      </c>
      <c r="E300" s="1" t="s">
        <v>602</v>
      </c>
      <c r="F300" s="3">
        <v>46233</v>
      </c>
      <c r="G300" s="4">
        <v>901075452</v>
      </c>
      <c r="H300" s="1" t="s">
        <v>593</v>
      </c>
      <c r="I300" s="1" t="s">
        <v>603</v>
      </c>
      <c r="J300" s="1" t="s">
        <v>23</v>
      </c>
      <c r="K300" s="2">
        <v>100000</v>
      </c>
      <c r="L300" s="1" t="s">
        <v>25</v>
      </c>
      <c r="M300" s="2" t="s">
        <v>26</v>
      </c>
      <c r="N300" s="2">
        <v>100</v>
      </c>
      <c r="O300" s="2">
        <v>-470</v>
      </c>
      <c r="P300" s="1" t="s">
        <v>27</v>
      </c>
    </row>
    <row r="301" spans="1:16" outlineLevel="2">
      <c r="A301" s="1" t="s">
        <v>589</v>
      </c>
      <c r="B301" s="1" t="s">
        <v>590</v>
      </c>
      <c r="C301" s="1" t="s">
        <v>591</v>
      </c>
      <c r="D301" s="2">
        <v>0</v>
      </c>
      <c r="E301" s="1" t="s">
        <v>604</v>
      </c>
      <c r="F301" s="3">
        <v>46233</v>
      </c>
      <c r="G301" s="4">
        <v>901075452</v>
      </c>
      <c r="H301" s="1" t="s">
        <v>593</v>
      </c>
      <c r="I301" s="1" t="s">
        <v>605</v>
      </c>
      <c r="J301" s="1" t="s">
        <v>23</v>
      </c>
      <c r="K301" s="2">
        <v>50000</v>
      </c>
      <c r="L301" s="1" t="s">
        <v>25</v>
      </c>
      <c r="M301" s="2" t="s">
        <v>26</v>
      </c>
      <c r="N301" s="2">
        <v>50</v>
      </c>
      <c r="O301" s="2">
        <v>-520</v>
      </c>
      <c r="P301" s="1" t="s">
        <v>27</v>
      </c>
    </row>
    <row r="302" spans="1:16" outlineLevel="2">
      <c r="A302" s="1" t="s">
        <v>589</v>
      </c>
      <c r="B302" s="1" t="s">
        <v>590</v>
      </c>
      <c r="C302" s="1" t="s">
        <v>591</v>
      </c>
      <c r="D302" s="2">
        <v>0</v>
      </c>
      <c r="E302" s="1" t="s">
        <v>606</v>
      </c>
      <c r="F302" s="3">
        <v>46233</v>
      </c>
      <c r="G302" s="4">
        <v>901075452</v>
      </c>
      <c r="H302" s="1" t="s">
        <v>593</v>
      </c>
      <c r="I302" s="1" t="s">
        <v>607</v>
      </c>
      <c r="J302" s="1" t="s">
        <v>23</v>
      </c>
      <c r="K302" s="2">
        <v>79195</v>
      </c>
      <c r="L302" s="1" t="s">
        <v>25</v>
      </c>
      <c r="M302" s="2" t="s">
        <v>26</v>
      </c>
      <c r="N302" s="2">
        <v>79.2</v>
      </c>
      <c r="O302" s="2">
        <v>-599.20000000000005</v>
      </c>
      <c r="P302" s="1" t="s">
        <v>27</v>
      </c>
    </row>
    <row r="303" spans="1:16" outlineLevel="2">
      <c r="A303" s="1" t="s">
        <v>589</v>
      </c>
      <c r="B303" s="1" t="s">
        <v>590</v>
      </c>
      <c r="C303" s="1" t="s">
        <v>591</v>
      </c>
      <c r="D303" s="2">
        <v>0</v>
      </c>
      <c r="E303" s="1" t="s">
        <v>608</v>
      </c>
      <c r="F303" s="3">
        <v>46233</v>
      </c>
      <c r="G303" s="4">
        <v>802017066</v>
      </c>
      <c r="H303" s="1" t="s">
        <v>596</v>
      </c>
      <c r="I303" s="1" t="s">
        <v>609</v>
      </c>
      <c r="J303" s="1" t="s">
        <v>23</v>
      </c>
      <c r="K303" s="2">
        <v>100000</v>
      </c>
      <c r="L303" s="1" t="s">
        <v>25</v>
      </c>
      <c r="M303" s="2" t="s">
        <v>26</v>
      </c>
      <c r="N303" s="2">
        <v>100</v>
      </c>
      <c r="O303" s="2">
        <v>-699.2</v>
      </c>
      <c r="P303" s="1" t="s">
        <v>27</v>
      </c>
    </row>
    <row r="304" spans="1:16" outlineLevel="2">
      <c r="A304" s="1" t="s">
        <v>589</v>
      </c>
      <c r="B304" s="1" t="s">
        <v>590</v>
      </c>
      <c r="C304" s="1" t="s">
        <v>591</v>
      </c>
      <c r="D304" s="2">
        <v>0</v>
      </c>
      <c r="E304" s="1" t="s">
        <v>610</v>
      </c>
      <c r="F304" s="3">
        <v>46233</v>
      </c>
      <c r="G304" s="4">
        <v>901075452</v>
      </c>
      <c r="H304" s="1" t="s">
        <v>593</v>
      </c>
      <c r="I304" s="1" t="s">
        <v>611</v>
      </c>
      <c r="J304" s="1" t="s">
        <v>23</v>
      </c>
      <c r="K304" s="2">
        <v>100000</v>
      </c>
      <c r="L304" s="1" t="s">
        <v>25</v>
      </c>
      <c r="M304" s="2" t="s">
        <v>26</v>
      </c>
      <c r="N304" s="2">
        <v>100</v>
      </c>
      <c r="O304" s="2">
        <v>-799.2</v>
      </c>
      <c r="P304" s="1" t="s">
        <v>27</v>
      </c>
    </row>
    <row r="305" spans="1:16" outlineLevel="2">
      <c r="A305" s="1" t="s">
        <v>589</v>
      </c>
      <c r="B305" s="1" t="s">
        <v>590</v>
      </c>
      <c r="C305" s="1" t="s">
        <v>591</v>
      </c>
      <c r="D305" s="2">
        <v>0</v>
      </c>
      <c r="E305" s="1" t="s">
        <v>612</v>
      </c>
      <c r="F305" s="3">
        <v>46233</v>
      </c>
      <c r="G305" s="4">
        <v>900021337</v>
      </c>
      <c r="H305" s="1" t="s">
        <v>613</v>
      </c>
      <c r="I305" s="1" t="s">
        <v>614</v>
      </c>
      <c r="J305" s="1" t="s">
        <v>23</v>
      </c>
      <c r="K305" s="2">
        <v>15790</v>
      </c>
      <c r="L305" s="1" t="s">
        <v>25</v>
      </c>
      <c r="M305" s="2" t="s">
        <v>26</v>
      </c>
      <c r="N305" s="2">
        <v>15.79</v>
      </c>
      <c r="O305" s="2">
        <v>-814.99</v>
      </c>
      <c r="P305" s="1" t="s">
        <v>27</v>
      </c>
    </row>
    <row r="306" spans="1:16" outlineLevel="2">
      <c r="A306" s="1" t="s">
        <v>589</v>
      </c>
      <c r="B306" s="1" t="s">
        <v>590</v>
      </c>
      <c r="C306" s="1" t="s">
        <v>591</v>
      </c>
      <c r="D306" s="2">
        <v>0</v>
      </c>
      <c r="E306" s="1" t="s">
        <v>615</v>
      </c>
      <c r="F306" s="3">
        <v>46233</v>
      </c>
      <c r="G306" s="4">
        <v>901075452</v>
      </c>
      <c r="H306" s="1" t="s">
        <v>593</v>
      </c>
      <c r="I306" s="1" t="s">
        <v>616</v>
      </c>
      <c r="J306" s="1" t="s">
        <v>23</v>
      </c>
      <c r="K306" s="2">
        <v>100000</v>
      </c>
      <c r="L306" s="1" t="s">
        <v>25</v>
      </c>
      <c r="M306" s="2" t="s">
        <v>26</v>
      </c>
      <c r="N306" s="2">
        <v>100</v>
      </c>
      <c r="O306" s="2">
        <v>-914.99</v>
      </c>
      <c r="P306" s="1" t="s">
        <v>27</v>
      </c>
    </row>
    <row r="307" spans="1:16" outlineLevel="2">
      <c r="A307" s="1" t="s">
        <v>589</v>
      </c>
      <c r="B307" s="1" t="s">
        <v>590</v>
      </c>
      <c r="C307" s="1" t="s">
        <v>591</v>
      </c>
      <c r="D307" s="2">
        <v>0</v>
      </c>
      <c r="E307" s="1" t="s">
        <v>617</v>
      </c>
      <c r="F307" s="3">
        <v>46234</v>
      </c>
      <c r="G307" s="4">
        <v>802017066</v>
      </c>
      <c r="H307" s="1" t="s">
        <v>596</v>
      </c>
      <c r="I307" s="1" t="s">
        <v>618</v>
      </c>
      <c r="J307" s="1" t="s">
        <v>23</v>
      </c>
      <c r="K307" s="2">
        <v>100000</v>
      </c>
      <c r="L307" s="1" t="s">
        <v>25</v>
      </c>
      <c r="M307" s="2" t="s">
        <v>26</v>
      </c>
      <c r="N307" s="2">
        <v>100</v>
      </c>
      <c r="O307" s="2">
        <v>-1014.99</v>
      </c>
      <c r="P307" s="1" t="s">
        <v>27</v>
      </c>
    </row>
    <row r="308" spans="1:16" outlineLevel="2">
      <c r="A308" s="1" t="s">
        <v>589</v>
      </c>
      <c r="B308" s="1" t="s">
        <v>590</v>
      </c>
      <c r="C308" s="1" t="s">
        <v>591</v>
      </c>
      <c r="D308" s="2">
        <v>0</v>
      </c>
      <c r="E308" s="1" t="s">
        <v>619</v>
      </c>
      <c r="F308" s="3">
        <v>46234</v>
      </c>
      <c r="G308" s="4">
        <v>901075452</v>
      </c>
      <c r="H308" s="1" t="s">
        <v>593</v>
      </c>
      <c r="I308" s="1" t="s">
        <v>620</v>
      </c>
      <c r="J308" s="1" t="s">
        <v>23</v>
      </c>
      <c r="K308" s="2">
        <v>100000</v>
      </c>
      <c r="L308" s="1" t="s">
        <v>25</v>
      </c>
      <c r="M308" s="2" t="s">
        <v>26</v>
      </c>
      <c r="N308" s="2">
        <v>100</v>
      </c>
      <c r="O308" s="2">
        <v>-1114.99</v>
      </c>
      <c r="P308" s="1" t="s">
        <v>27</v>
      </c>
    </row>
    <row r="309" spans="1:16" outlineLevel="2">
      <c r="A309" s="1" t="s">
        <v>589</v>
      </c>
      <c r="B309" s="1" t="s">
        <v>590</v>
      </c>
      <c r="C309" s="1" t="s">
        <v>591</v>
      </c>
      <c r="D309" s="2">
        <v>0</v>
      </c>
      <c r="E309" s="1" t="s">
        <v>621</v>
      </c>
      <c r="F309" s="3">
        <v>46234</v>
      </c>
      <c r="G309" s="4">
        <v>901075452</v>
      </c>
      <c r="H309" s="1" t="s">
        <v>593</v>
      </c>
      <c r="I309" s="1" t="s">
        <v>622</v>
      </c>
      <c r="J309" s="1" t="s">
        <v>23</v>
      </c>
      <c r="K309" s="2">
        <v>100000</v>
      </c>
      <c r="L309" s="1" t="s">
        <v>25</v>
      </c>
      <c r="M309" s="2" t="s">
        <v>26</v>
      </c>
      <c r="N309" s="2">
        <v>100</v>
      </c>
      <c r="O309" s="2">
        <v>-1214.99</v>
      </c>
      <c r="P309" s="1" t="s">
        <v>27</v>
      </c>
    </row>
    <row r="310" spans="1:16" outlineLevel="2">
      <c r="A310" s="1" t="s">
        <v>589</v>
      </c>
      <c r="B310" s="1" t="s">
        <v>590</v>
      </c>
      <c r="C310" s="1" t="s">
        <v>591</v>
      </c>
      <c r="D310" s="2">
        <v>0</v>
      </c>
      <c r="E310" s="1" t="s">
        <v>623</v>
      </c>
      <c r="F310" s="3">
        <v>46234</v>
      </c>
      <c r="G310" s="4">
        <v>901075452</v>
      </c>
      <c r="H310" s="1" t="s">
        <v>593</v>
      </c>
      <c r="I310" s="1" t="s">
        <v>624</v>
      </c>
      <c r="J310" s="1" t="s">
        <v>23</v>
      </c>
      <c r="K310" s="2">
        <v>100000</v>
      </c>
      <c r="L310" s="1" t="s">
        <v>25</v>
      </c>
      <c r="M310" s="2" t="s">
        <v>26</v>
      </c>
      <c r="N310" s="2">
        <v>100</v>
      </c>
      <c r="O310" s="2">
        <v>-1314.99</v>
      </c>
      <c r="P310" s="1" t="s">
        <v>27</v>
      </c>
    </row>
    <row r="311" spans="1:16" outlineLevel="2">
      <c r="A311" s="1" t="s">
        <v>589</v>
      </c>
      <c r="B311" s="1" t="s">
        <v>590</v>
      </c>
      <c r="C311" s="1" t="s">
        <v>591</v>
      </c>
      <c r="D311" s="2">
        <v>0</v>
      </c>
      <c r="E311" s="1" t="s">
        <v>625</v>
      </c>
      <c r="F311" s="3">
        <v>46234</v>
      </c>
      <c r="G311" s="4">
        <v>802017066</v>
      </c>
      <c r="H311" s="1" t="s">
        <v>596</v>
      </c>
      <c r="I311" s="1" t="s">
        <v>626</v>
      </c>
      <c r="J311" s="1" t="s">
        <v>23</v>
      </c>
      <c r="K311" s="2">
        <v>100000</v>
      </c>
      <c r="L311" s="1" t="s">
        <v>25</v>
      </c>
      <c r="M311" s="2" t="s">
        <v>26</v>
      </c>
      <c r="N311" s="2">
        <v>100</v>
      </c>
      <c r="O311" s="2">
        <v>-1414.99</v>
      </c>
      <c r="P311" s="1" t="s">
        <v>27</v>
      </c>
    </row>
    <row r="312" spans="1:16" outlineLevel="2">
      <c r="A312" s="1" t="s">
        <v>589</v>
      </c>
      <c r="B312" s="1" t="s">
        <v>590</v>
      </c>
      <c r="C312" s="1" t="s">
        <v>591</v>
      </c>
      <c r="D312" s="2">
        <v>0</v>
      </c>
      <c r="E312" s="1" t="s">
        <v>627</v>
      </c>
      <c r="F312" s="3">
        <v>46234</v>
      </c>
      <c r="G312" s="4">
        <v>802017066</v>
      </c>
      <c r="H312" s="1" t="s">
        <v>596</v>
      </c>
      <c r="I312" s="1" t="s">
        <v>628</v>
      </c>
      <c r="J312" s="1" t="s">
        <v>23</v>
      </c>
      <c r="K312" s="2">
        <v>100000</v>
      </c>
      <c r="L312" s="1" t="s">
        <v>25</v>
      </c>
      <c r="M312" s="2" t="s">
        <v>26</v>
      </c>
      <c r="N312" s="2">
        <v>100</v>
      </c>
      <c r="O312" s="2">
        <v>-1514.99</v>
      </c>
      <c r="P312" s="1" t="s">
        <v>27</v>
      </c>
    </row>
    <row r="313" spans="1:16" outlineLevel="2">
      <c r="A313" s="1" t="s">
        <v>589</v>
      </c>
      <c r="B313" s="1" t="s">
        <v>590</v>
      </c>
      <c r="C313" s="1" t="s">
        <v>591</v>
      </c>
      <c r="D313" s="2">
        <v>0</v>
      </c>
      <c r="E313" s="1" t="s">
        <v>629</v>
      </c>
      <c r="F313" s="3">
        <v>46234</v>
      </c>
      <c r="G313" s="4">
        <v>802017066</v>
      </c>
      <c r="H313" s="1" t="s">
        <v>596</v>
      </c>
      <c r="I313" s="1" t="s">
        <v>630</v>
      </c>
      <c r="J313" s="1" t="s">
        <v>23</v>
      </c>
      <c r="K313" s="2">
        <v>100000</v>
      </c>
      <c r="L313" s="1" t="s">
        <v>25</v>
      </c>
      <c r="M313" s="2" t="s">
        <v>26</v>
      </c>
      <c r="N313" s="2">
        <v>100</v>
      </c>
      <c r="O313" s="2">
        <v>-1614.99</v>
      </c>
      <c r="P313" s="1" t="s">
        <v>27</v>
      </c>
    </row>
    <row r="314" spans="1:16" outlineLevel="2">
      <c r="A314" s="1" t="s">
        <v>589</v>
      </c>
      <c r="B314" s="1" t="s">
        <v>590</v>
      </c>
      <c r="C314" s="1" t="s">
        <v>591</v>
      </c>
      <c r="D314" s="2">
        <v>0</v>
      </c>
      <c r="E314" s="1" t="s">
        <v>631</v>
      </c>
      <c r="F314" s="3">
        <v>46234</v>
      </c>
      <c r="G314" s="4">
        <v>802017066</v>
      </c>
      <c r="H314" s="1" t="s">
        <v>596</v>
      </c>
      <c r="I314" s="1" t="s">
        <v>632</v>
      </c>
      <c r="J314" s="1" t="s">
        <v>23</v>
      </c>
      <c r="K314" s="2">
        <v>100000</v>
      </c>
      <c r="L314" s="1" t="s">
        <v>25</v>
      </c>
      <c r="M314" s="2" t="s">
        <v>26</v>
      </c>
      <c r="N314" s="2">
        <v>100</v>
      </c>
      <c r="O314" s="2">
        <v>-1714.99</v>
      </c>
      <c r="P314" s="1" t="s">
        <v>27</v>
      </c>
    </row>
    <row r="315" spans="1:16" outlineLevel="2">
      <c r="A315" s="1" t="s">
        <v>589</v>
      </c>
      <c r="B315" s="1" t="s">
        <v>590</v>
      </c>
      <c r="C315" s="1" t="s">
        <v>591</v>
      </c>
      <c r="D315" s="2">
        <v>0</v>
      </c>
      <c r="E315" s="1" t="s">
        <v>633</v>
      </c>
      <c r="F315" s="3">
        <v>46234</v>
      </c>
      <c r="G315" s="4">
        <v>802017066</v>
      </c>
      <c r="H315" s="1" t="s">
        <v>596</v>
      </c>
      <c r="I315" s="1" t="s">
        <v>634</v>
      </c>
      <c r="J315" s="1" t="s">
        <v>23</v>
      </c>
      <c r="K315" s="2">
        <v>100000</v>
      </c>
      <c r="L315" s="1" t="s">
        <v>25</v>
      </c>
      <c r="M315" s="2" t="s">
        <v>26</v>
      </c>
      <c r="N315" s="2">
        <v>100</v>
      </c>
      <c r="O315" s="2">
        <v>-1814.99</v>
      </c>
      <c r="P315" s="1" t="s">
        <v>27</v>
      </c>
    </row>
    <row r="316" spans="1:16" outlineLevel="2">
      <c r="A316" s="1" t="s">
        <v>589</v>
      </c>
      <c r="B316" s="1" t="s">
        <v>590</v>
      </c>
      <c r="C316" s="1" t="s">
        <v>591</v>
      </c>
      <c r="D316" s="2">
        <v>0</v>
      </c>
      <c r="E316" s="1" t="s">
        <v>635</v>
      </c>
      <c r="F316" s="3">
        <v>46234</v>
      </c>
      <c r="G316" s="4">
        <v>901075452</v>
      </c>
      <c r="H316" s="1" t="s">
        <v>593</v>
      </c>
      <c r="I316" s="1" t="s">
        <v>636</v>
      </c>
      <c r="J316" s="1" t="s">
        <v>23</v>
      </c>
      <c r="K316" s="2">
        <v>50000</v>
      </c>
      <c r="L316" s="1" t="s">
        <v>25</v>
      </c>
      <c r="M316" s="2" t="s">
        <v>26</v>
      </c>
      <c r="N316" s="2">
        <v>50</v>
      </c>
      <c r="O316" s="2">
        <v>-1864.99</v>
      </c>
      <c r="P316" s="1" t="s">
        <v>27</v>
      </c>
    </row>
    <row r="317" spans="1:16" outlineLevel="1">
      <c r="A317" s="13" t="s">
        <v>1395</v>
      </c>
      <c r="M317" s="2">
        <f>SUBTOTAL(9,M296:M316)</f>
        <v>0</v>
      </c>
      <c r="N317" s="2">
        <f>SUBTOTAL(9,N296:N316)</f>
        <v>1864.99</v>
      </c>
    </row>
    <row r="318" spans="1:16" outlineLevel="2">
      <c r="A318" s="1" t="s">
        <v>637</v>
      </c>
      <c r="B318" s="1" t="s">
        <v>638</v>
      </c>
      <c r="C318" s="1" t="s">
        <v>246</v>
      </c>
      <c r="D318" s="2">
        <v>0</v>
      </c>
      <c r="E318" s="1" t="s">
        <v>639</v>
      </c>
      <c r="F318" s="3">
        <v>46226</v>
      </c>
      <c r="G318" s="4">
        <v>16708751</v>
      </c>
      <c r="H318" s="1" t="s">
        <v>212</v>
      </c>
      <c r="I318" s="1" t="s">
        <v>219</v>
      </c>
      <c r="J318" s="1" t="s">
        <v>23</v>
      </c>
      <c r="K318" s="2">
        <v>894000</v>
      </c>
      <c r="L318" s="1" t="s">
        <v>25</v>
      </c>
      <c r="M318" s="2" t="s">
        <v>26</v>
      </c>
      <c r="N318" s="2">
        <v>22350</v>
      </c>
      <c r="O318" s="2">
        <v>-22350</v>
      </c>
      <c r="P318" s="1" t="s">
        <v>27</v>
      </c>
    </row>
    <row r="319" spans="1:16" outlineLevel="1">
      <c r="A319" s="13" t="s">
        <v>1396</v>
      </c>
      <c r="M319" s="2">
        <f>SUBTOTAL(9,M318:M318)</f>
        <v>0</v>
      </c>
      <c r="N319" s="2">
        <f>SUBTOTAL(9,N318:N318)</f>
        <v>22350</v>
      </c>
    </row>
    <row r="320" spans="1:16" outlineLevel="2">
      <c r="A320" s="1" t="s">
        <v>640</v>
      </c>
      <c r="B320" s="1" t="s">
        <v>641</v>
      </c>
      <c r="C320" s="1" t="s">
        <v>287</v>
      </c>
      <c r="D320" s="2">
        <v>0</v>
      </c>
      <c r="E320" s="1" t="s">
        <v>642</v>
      </c>
      <c r="F320" s="3">
        <v>46213</v>
      </c>
      <c r="G320" s="4">
        <v>890211777</v>
      </c>
      <c r="H320" s="1" t="s">
        <v>128</v>
      </c>
      <c r="I320" s="1" t="s">
        <v>289</v>
      </c>
      <c r="J320" s="1" t="s">
        <v>23</v>
      </c>
      <c r="K320" s="2">
        <v>650106</v>
      </c>
      <c r="L320" s="1" t="s">
        <v>25</v>
      </c>
      <c r="M320" s="2" t="s">
        <v>26</v>
      </c>
      <c r="N320" s="2">
        <v>3575.58</v>
      </c>
      <c r="O320" s="2">
        <v>-3575.58</v>
      </c>
      <c r="P320" s="1" t="s">
        <v>130</v>
      </c>
    </row>
    <row r="321" spans="1:16" outlineLevel="2">
      <c r="A321" s="1" t="s">
        <v>640</v>
      </c>
      <c r="B321" s="1" t="s">
        <v>641</v>
      </c>
      <c r="C321" s="1" t="s">
        <v>287</v>
      </c>
      <c r="D321" s="2">
        <v>0</v>
      </c>
      <c r="E321" s="1" t="s">
        <v>643</v>
      </c>
      <c r="F321" s="3">
        <v>46213</v>
      </c>
      <c r="G321" s="4">
        <v>890106697</v>
      </c>
      <c r="H321" s="1" t="s">
        <v>132</v>
      </c>
      <c r="I321" s="1" t="s">
        <v>289</v>
      </c>
      <c r="J321" s="1" t="s">
        <v>23</v>
      </c>
      <c r="K321" s="2">
        <v>2483954</v>
      </c>
      <c r="L321" s="1" t="s">
        <v>25</v>
      </c>
      <c r="M321" s="2" t="s">
        <v>26</v>
      </c>
      <c r="N321" s="2">
        <v>13661.74</v>
      </c>
      <c r="O321" s="2">
        <v>-17237.32</v>
      </c>
      <c r="P321" s="1" t="s">
        <v>134</v>
      </c>
    </row>
    <row r="322" spans="1:16" outlineLevel="2">
      <c r="A322" s="1" t="s">
        <v>640</v>
      </c>
      <c r="B322" s="1" t="s">
        <v>641</v>
      </c>
      <c r="C322" s="1" t="s">
        <v>287</v>
      </c>
      <c r="D322" s="2">
        <v>0</v>
      </c>
      <c r="E322" s="1" t="s">
        <v>644</v>
      </c>
      <c r="F322" s="3">
        <v>46213</v>
      </c>
      <c r="G322" s="4">
        <v>890106697</v>
      </c>
      <c r="H322" s="1" t="s">
        <v>132</v>
      </c>
      <c r="I322" s="1" t="s">
        <v>289</v>
      </c>
      <c r="J322" s="1" t="s">
        <v>23</v>
      </c>
      <c r="K322" s="2">
        <v>2483954</v>
      </c>
      <c r="L322" s="1" t="s">
        <v>25</v>
      </c>
      <c r="M322" s="2" t="s">
        <v>26</v>
      </c>
      <c r="N322" s="2">
        <v>13661.74</v>
      </c>
      <c r="O322" s="2">
        <v>-30899.06</v>
      </c>
      <c r="P322" s="1" t="s">
        <v>137</v>
      </c>
    </row>
    <row r="323" spans="1:16" outlineLevel="2">
      <c r="A323" s="1" t="s">
        <v>640</v>
      </c>
      <c r="B323" s="1" t="s">
        <v>641</v>
      </c>
      <c r="C323" s="1" t="s">
        <v>287</v>
      </c>
      <c r="D323" s="2">
        <v>0</v>
      </c>
      <c r="E323" s="1" t="s">
        <v>645</v>
      </c>
      <c r="F323" s="3">
        <v>46220</v>
      </c>
      <c r="G323" s="4">
        <v>830060331</v>
      </c>
      <c r="H323" s="1" t="s">
        <v>124</v>
      </c>
      <c r="I323" s="1" t="s">
        <v>289</v>
      </c>
      <c r="J323" s="1" t="s">
        <v>23</v>
      </c>
      <c r="K323" s="2">
        <v>1972510.91</v>
      </c>
      <c r="L323" s="1" t="s">
        <v>25</v>
      </c>
      <c r="M323" s="2" t="s">
        <v>26</v>
      </c>
      <c r="N323" s="2">
        <v>10848.81</v>
      </c>
      <c r="O323" s="2">
        <v>-41747.870000000003</v>
      </c>
      <c r="P323" s="1" t="s">
        <v>140</v>
      </c>
    </row>
    <row r="324" spans="1:16" outlineLevel="2">
      <c r="A324" s="1" t="s">
        <v>640</v>
      </c>
      <c r="B324" s="1" t="s">
        <v>641</v>
      </c>
      <c r="C324" s="1" t="s">
        <v>287</v>
      </c>
      <c r="D324" s="2">
        <v>0</v>
      </c>
      <c r="E324" s="1" t="s">
        <v>646</v>
      </c>
      <c r="F324" s="3">
        <v>46220</v>
      </c>
      <c r="G324" s="4">
        <v>830060331</v>
      </c>
      <c r="H324" s="1" t="s">
        <v>124</v>
      </c>
      <c r="I324" s="1" t="s">
        <v>289</v>
      </c>
      <c r="J324" s="1" t="s">
        <v>23</v>
      </c>
      <c r="K324" s="2">
        <v>4674582.42</v>
      </c>
      <c r="L324" s="1" t="s">
        <v>25</v>
      </c>
      <c r="M324" s="2" t="s">
        <v>26</v>
      </c>
      <c r="N324" s="2">
        <v>25710.2</v>
      </c>
      <c r="O324" s="2">
        <v>-67458.070000000007</v>
      </c>
      <c r="P324" s="1" t="s">
        <v>143</v>
      </c>
    </row>
    <row r="325" spans="1:16" outlineLevel="2">
      <c r="A325" s="1" t="s">
        <v>640</v>
      </c>
      <c r="B325" s="1" t="s">
        <v>641</v>
      </c>
      <c r="C325" s="1" t="s">
        <v>287</v>
      </c>
      <c r="D325" s="2">
        <v>0</v>
      </c>
      <c r="E325" s="1" t="s">
        <v>647</v>
      </c>
      <c r="F325" s="3">
        <v>46220</v>
      </c>
      <c r="G325" s="4">
        <v>800148462</v>
      </c>
      <c r="H325" s="1" t="s">
        <v>115</v>
      </c>
      <c r="I325" s="1" t="s">
        <v>289</v>
      </c>
      <c r="J325" s="1" t="s">
        <v>23</v>
      </c>
      <c r="K325" s="2">
        <v>7000000</v>
      </c>
      <c r="L325" s="1" t="s">
        <v>25</v>
      </c>
      <c r="M325" s="2" t="s">
        <v>26</v>
      </c>
      <c r="N325" s="2">
        <v>38500</v>
      </c>
      <c r="O325" s="2">
        <v>-105958.07</v>
      </c>
      <c r="P325" s="1" t="s">
        <v>146</v>
      </c>
    </row>
    <row r="326" spans="1:16" outlineLevel="2">
      <c r="A326" s="1" t="s">
        <v>640</v>
      </c>
      <c r="B326" s="1" t="s">
        <v>641</v>
      </c>
      <c r="C326" s="1" t="s">
        <v>287</v>
      </c>
      <c r="D326" s="2">
        <v>0</v>
      </c>
      <c r="E326" s="1" t="s">
        <v>648</v>
      </c>
      <c r="F326" s="3">
        <v>46224</v>
      </c>
      <c r="G326" s="4">
        <v>901067419</v>
      </c>
      <c r="H326" s="1" t="s">
        <v>148</v>
      </c>
      <c r="I326" s="1" t="s">
        <v>289</v>
      </c>
      <c r="J326" s="1" t="s">
        <v>23</v>
      </c>
      <c r="K326" s="2">
        <v>7000000</v>
      </c>
      <c r="L326" s="1" t="s">
        <v>25</v>
      </c>
      <c r="M326" s="2" t="s">
        <v>26</v>
      </c>
      <c r="N326" s="2">
        <v>38500</v>
      </c>
      <c r="O326" s="2">
        <v>-144458.07</v>
      </c>
      <c r="P326" s="1" t="s">
        <v>150</v>
      </c>
    </row>
    <row r="327" spans="1:16" outlineLevel="2">
      <c r="A327" s="1" t="s">
        <v>640</v>
      </c>
      <c r="B327" s="1" t="s">
        <v>641</v>
      </c>
      <c r="C327" s="1" t="s">
        <v>287</v>
      </c>
      <c r="D327" s="2">
        <v>0</v>
      </c>
      <c r="E327" s="1" t="s">
        <v>649</v>
      </c>
      <c r="F327" s="3">
        <v>46224</v>
      </c>
      <c r="G327" s="4">
        <v>901069576</v>
      </c>
      <c r="H327" s="1" t="s">
        <v>152</v>
      </c>
      <c r="I327" s="1" t="s">
        <v>289</v>
      </c>
      <c r="J327" s="1" t="s">
        <v>23</v>
      </c>
      <c r="K327" s="2">
        <v>3000000</v>
      </c>
      <c r="L327" s="1" t="s">
        <v>25</v>
      </c>
      <c r="M327" s="2" t="s">
        <v>26</v>
      </c>
      <c r="N327" s="2">
        <v>16500</v>
      </c>
      <c r="O327" s="2">
        <v>-160958.07</v>
      </c>
      <c r="P327" s="1" t="s">
        <v>155</v>
      </c>
    </row>
    <row r="328" spans="1:16" outlineLevel="2">
      <c r="A328" s="1" t="s">
        <v>640</v>
      </c>
      <c r="B328" s="1" t="s">
        <v>641</v>
      </c>
      <c r="C328" s="1" t="s">
        <v>287</v>
      </c>
      <c r="D328" s="2">
        <v>0</v>
      </c>
      <c r="E328" s="1" t="s">
        <v>650</v>
      </c>
      <c r="F328" s="3">
        <v>46227</v>
      </c>
      <c r="G328" s="4">
        <v>901226733</v>
      </c>
      <c r="H328" s="1" t="s">
        <v>163</v>
      </c>
      <c r="I328" s="1" t="s">
        <v>289</v>
      </c>
      <c r="J328" s="1" t="s">
        <v>23</v>
      </c>
      <c r="K328" s="2">
        <v>8983084</v>
      </c>
      <c r="L328" s="1" t="s">
        <v>25</v>
      </c>
      <c r="M328" s="2" t="s">
        <v>26</v>
      </c>
      <c r="N328" s="2">
        <v>49406.96</v>
      </c>
      <c r="O328" s="2">
        <v>-210365.03</v>
      </c>
      <c r="P328" s="1" t="s">
        <v>165</v>
      </c>
    </row>
    <row r="329" spans="1:16" outlineLevel="2">
      <c r="A329" s="1" t="s">
        <v>640</v>
      </c>
      <c r="B329" s="1" t="s">
        <v>641</v>
      </c>
      <c r="C329" s="1" t="s">
        <v>287</v>
      </c>
      <c r="D329" s="2">
        <v>0</v>
      </c>
      <c r="E329" s="1" t="s">
        <v>651</v>
      </c>
      <c r="F329" s="3">
        <v>46227</v>
      </c>
      <c r="G329" s="4">
        <v>830060331</v>
      </c>
      <c r="H329" s="1" t="s">
        <v>124</v>
      </c>
      <c r="I329" s="1" t="s">
        <v>289</v>
      </c>
      <c r="J329" s="1" t="s">
        <v>23</v>
      </c>
      <c r="K329" s="2">
        <v>4674582.42</v>
      </c>
      <c r="L329" s="1" t="s">
        <v>25</v>
      </c>
      <c r="M329" s="2" t="s">
        <v>26</v>
      </c>
      <c r="N329" s="2">
        <v>25710.2</v>
      </c>
      <c r="O329" s="2">
        <v>-236075.23</v>
      </c>
      <c r="P329" s="1" t="s">
        <v>168</v>
      </c>
    </row>
    <row r="330" spans="1:16" outlineLevel="2">
      <c r="A330" s="1" t="s">
        <v>640</v>
      </c>
      <c r="B330" s="1" t="s">
        <v>641</v>
      </c>
      <c r="C330" s="1" t="s">
        <v>287</v>
      </c>
      <c r="D330" s="2">
        <v>0</v>
      </c>
      <c r="E330" s="1" t="s">
        <v>652</v>
      </c>
      <c r="F330" s="3">
        <v>46227</v>
      </c>
      <c r="G330" s="4">
        <v>890106697</v>
      </c>
      <c r="H330" s="1" t="s">
        <v>132</v>
      </c>
      <c r="I330" s="1" t="s">
        <v>289</v>
      </c>
      <c r="J330" s="1" t="s">
        <v>23</v>
      </c>
      <c r="K330" s="2">
        <v>869073</v>
      </c>
      <c r="L330" s="1" t="s">
        <v>25</v>
      </c>
      <c r="M330" s="2" t="s">
        <v>26</v>
      </c>
      <c r="N330" s="2">
        <v>4779.8999999999996</v>
      </c>
      <c r="O330" s="2">
        <v>-240855.13</v>
      </c>
      <c r="P330" s="1" t="s">
        <v>171</v>
      </c>
    </row>
    <row r="331" spans="1:16" outlineLevel="2">
      <c r="A331" s="1" t="s">
        <v>640</v>
      </c>
      <c r="B331" s="1" t="s">
        <v>641</v>
      </c>
      <c r="C331" s="1" t="s">
        <v>287</v>
      </c>
      <c r="D331" s="2">
        <v>0</v>
      </c>
      <c r="E331" s="1" t="s">
        <v>653</v>
      </c>
      <c r="F331" s="3">
        <v>46230</v>
      </c>
      <c r="G331" s="4">
        <v>900268901</v>
      </c>
      <c r="H331" s="1" t="s">
        <v>189</v>
      </c>
      <c r="I331" s="1" t="s">
        <v>289</v>
      </c>
      <c r="J331" s="1" t="s">
        <v>23</v>
      </c>
      <c r="K331" s="2">
        <v>12374471</v>
      </c>
      <c r="L331" s="1" t="s">
        <v>25</v>
      </c>
      <c r="M331" s="2" t="s">
        <v>26</v>
      </c>
      <c r="N331" s="2">
        <v>68059.59</v>
      </c>
      <c r="O331" s="2">
        <v>-308914.71999999997</v>
      </c>
      <c r="P331" s="1" t="s">
        <v>192</v>
      </c>
    </row>
    <row r="332" spans="1:16" outlineLevel="1">
      <c r="A332" s="13" t="s">
        <v>1397</v>
      </c>
      <c r="M332" s="2">
        <f>SUBTOTAL(9,M320:M331)</f>
        <v>0</v>
      </c>
      <c r="N332" s="2">
        <f>SUBTOTAL(9,N320:N331)</f>
        <v>308914.71999999997</v>
      </c>
    </row>
    <row r="333" spans="1:16" outlineLevel="2">
      <c r="A333" s="1" t="s">
        <v>654</v>
      </c>
      <c r="B333" s="1" t="s">
        <v>655</v>
      </c>
      <c r="C333" s="1" t="s">
        <v>656</v>
      </c>
      <c r="D333" s="2">
        <v>0</v>
      </c>
      <c r="E333" s="1" t="s">
        <v>657</v>
      </c>
      <c r="F333" s="3">
        <v>46219</v>
      </c>
      <c r="G333" s="4">
        <v>901296815</v>
      </c>
      <c r="H333" s="1" t="s">
        <v>395</v>
      </c>
      <c r="I333" s="1" t="s">
        <v>658</v>
      </c>
      <c r="J333" s="1" t="s">
        <v>23</v>
      </c>
      <c r="K333" s="2">
        <v>447451.14</v>
      </c>
      <c r="L333" s="1" t="s">
        <v>25</v>
      </c>
      <c r="M333" s="2" t="s">
        <v>26</v>
      </c>
      <c r="N333" s="2">
        <v>67117.67</v>
      </c>
      <c r="O333" s="2">
        <v>-67117.67</v>
      </c>
      <c r="P333" s="1" t="s">
        <v>27</v>
      </c>
    </row>
    <row r="334" spans="1:16" outlineLevel="1">
      <c r="A334" s="13" t="s">
        <v>1398</v>
      </c>
      <c r="M334" s="2">
        <f>SUBTOTAL(9,M333:M333)</f>
        <v>0</v>
      </c>
      <c r="N334" s="2">
        <f>SUBTOTAL(9,N333:N333)</f>
        <v>67117.67</v>
      </c>
    </row>
    <row r="335" spans="1:16" outlineLevel="2">
      <c r="A335" s="1" t="s">
        <v>659</v>
      </c>
      <c r="B335" s="1" t="s">
        <v>660</v>
      </c>
      <c r="C335" s="1" t="s">
        <v>661</v>
      </c>
      <c r="D335" s="2">
        <v>0</v>
      </c>
      <c r="E335" s="1" t="s">
        <v>546</v>
      </c>
      <c r="F335" s="3" t="s">
        <v>19</v>
      </c>
      <c r="G335" s="4">
        <v>0</v>
      </c>
      <c r="H335" s="1" t="s">
        <v>21</v>
      </c>
      <c r="I335" s="1" t="s">
        <v>22</v>
      </c>
      <c r="J335" s="1" t="s">
        <v>23</v>
      </c>
      <c r="K335" s="2" t="s">
        <v>24</v>
      </c>
      <c r="L335" s="1" t="s">
        <v>25</v>
      </c>
      <c r="M335" s="2">
        <v>0</v>
      </c>
      <c r="N335" s="2">
        <v>0</v>
      </c>
      <c r="O335" s="2">
        <v>0</v>
      </c>
      <c r="P335" s="1" t="s">
        <v>27</v>
      </c>
    </row>
    <row r="336" spans="1:16" outlineLevel="1">
      <c r="A336" s="13" t="s">
        <v>1399</v>
      </c>
      <c r="M336" s="2">
        <f>SUBTOTAL(9,M335:M335)</f>
        <v>0</v>
      </c>
      <c r="N336" s="2">
        <f>SUBTOTAL(9,N335:N335)</f>
        <v>0</v>
      </c>
    </row>
    <row r="337" spans="1:16" outlineLevel="2">
      <c r="A337" s="1" t="s">
        <v>662</v>
      </c>
      <c r="B337" s="1" t="s">
        <v>663</v>
      </c>
      <c r="C337" s="1" t="s">
        <v>664</v>
      </c>
      <c r="D337" s="2">
        <v>0</v>
      </c>
      <c r="E337" s="1" t="s">
        <v>665</v>
      </c>
      <c r="F337" s="3">
        <v>46233</v>
      </c>
      <c r="G337" s="4">
        <v>802017066</v>
      </c>
      <c r="H337" s="1" t="s">
        <v>596</v>
      </c>
      <c r="I337" s="1" t="s">
        <v>597</v>
      </c>
      <c r="J337" s="1" t="s">
        <v>23</v>
      </c>
      <c r="K337" s="2">
        <v>100000</v>
      </c>
      <c r="L337" s="1" t="s">
        <v>25</v>
      </c>
      <c r="M337" s="2" t="s">
        <v>26</v>
      </c>
      <c r="N337" s="2">
        <v>1000</v>
      </c>
      <c r="O337" s="2">
        <v>-1000</v>
      </c>
      <c r="P337" s="1" t="s">
        <v>27</v>
      </c>
    </row>
    <row r="338" spans="1:16" outlineLevel="2">
      <c r="A338" s="1" t="s">
        <v>662</v>
      </c>
      <c r="B338" s="1" t="s">
        <v>663</v>
      </c>
      <c r="C338" s="1" t="s">
        <v>664</v>
      </c>
      <c r="D338" s="2">
        <v>0</v>
      </c>
      <c r="E338" s="1" t="s">
        <v>666</v>
      </c>
      <c r="F338" s="3">
        <v>46233</v>
      </c>
      <c r="G338" s="4">
        <v>802017066</v>
      </c>
      <c r="H338" s="1" t="s">
        <v>596</v>
      </c>
      <c r="I338" s="1" t="s">
        <v>609</v>
      </c>
      <c r="J338" s="1" t="s">
        <v>23</v>
      </c>
      <c r="K338" s="2">
        <v>100000</v>
      </c>
      <c r="L338" s="1" t="s">
        <v>25</v>
      </c>
      <c r="M338" s="2" t="s">
        <v>26</v>
      </c>
      <c r="N338" s="2">
        <v>1000</v>
      </c>
      <c r="O338" s="2">
        <v>-2000</v>
      </c>
      <c r="P338" s="1" t="s">
        <v>27</v>
      </c>
    </row>
    <row r="339" spans="1:16" outlineLevel="2">
      <c r="A339" s="1" t="s">
        <v>662</v>
      </c>
      <c r="B339" s="1" t="s">
        <v>663</v>
      </c>
      <c r="C339" s="1" t="s">
        <v>664</v>
      </c>
      <c r="D339" s="2">
        <v>0</v>
      </c>
      <c r="E339" s="1" t="s">
        <v>667</v>
      </c>
      <c r="F339" s="3">
        <v>46234</v>
      </c>
      <c r="G339" s="4">
        <v>802017066</v>
      </c>
      <c r="H339" s="1" t="s">
        <v>596</v>
      </c>
      <c r="I339" s="1" t="s">
        <v>618</v>
      </c>
      <c r="J339" s="1" t="s">
        <v>23</v>
      </c>
      <c r="K339" s="2">
        <v>100000</v>
      </c>
      <c r="L339" s="1" t="s">
        <v>25</v>
      </c>
      <c r="M339" s="2" t="s">
        <v>26</v>
      </c>
      <c r="N339" s="2">
        <v>1000</v>
      </c>
      <c r="O339" s="2">
        <v>-3000</v>
      </c>
      <c r="P339" s="1" t="s">
        <v>27</v>
      </c>
    </row>
    <row r="340" spans="1:16" outlineLevel="2">
      <c r="A340" s="1" t="s">
        <v>662</v>
      </c>
      <c r="B340" s="1" t="s">
        <v>663</v>
      </c>
      <c r="C340" s="1" t="s">
        <v>664</v>
      </c>
      <c r="D340" s="2">
        <v>0</v>
      </c>
      <c r="E340" s="1" t="s">
        <v>668</v>
      </c>
      <c r="F340" s="3">
        <v>46234</v>
      </c>
      <c r="G340" s="4">
        <v>802017066</v>
      </c>
      <c r="H340" s="1" t="s">
        <v>596</v>
      </c>
      <c r="I340" s="1" t="s">
        <v>626</v>
      </c>
      <c r="J340" s="1" t="s">
        <v>23</v>
      </c>
      <c r="K340" s="2">
        <v>100000</v>
      </c>
      <c r="L340" s="1" t="s">
        <v>25</v>
      </c>
      <c r="M340" s="2" t="s">
        <v>26</v>
      </c>
      <c r="N340" s="2">
        <v>1000</v>
      </c>
      <c r="O340" s="2">
        <v>-4000</v>
      </c>
      <c r="P340" s="1" t="s">
        <v>27</v>
      </c>
    </row>
    <row r="341" spans="1:16" outlineLevel="2">
      <c r="A341" s="1" t="s">
        <v>662</v>
      </c>
      <c r="B341" s="1" t="s">
        <v>663</v>
      </c>
      <c r="C341" s="1" t="s">
        <v>664</v>
      </c>
      <c r="D341" s="2">
        <v>0</v>
      </c>
      <c r="E341" s="1" t="s">
        <v>669</v>
      </c>
      <c r="F341" s="3">
        <v>46234</v>
      </c>
      <c r="G341" s="4">
        <v>802017066</v>
      </c>
      <c r="H341" s="1" t="s">
        <v>596</v>
      </c>
      <c r="I341" s="1" t="s">
        <v>628</v>
      </c>
      <c r="J341" s="1" t="s">
        <v>23</v>
      </c>
      <c r="K341" s="2">
        <v>100000</v>
      </c>
      <c r="L341" s="1" t="s">
        <v>25</v>
      </c>
      <c r="M341" s="2" t="s">
        <v>26</v>
      </c>
      <c r="N341" s="2">
        <v>1000</v>
      </c>
      <c r="O341" s="2">
        <v>-5000</v>
      </c>
      <c r="P341" s="1" t="s">
        <v>27</v>
      </c>
    </row>
    <row r="342" spans="1:16" outlineLevel="2">
      <c r="A342" s="1" t="s">
        <v>662</v>
      </c>
      <c r="B342" s="1" t="s">
        <v>663</v>
      </c>
      <c r="C342" s="1" t="s">
        <v>664</v>
      </c>
      <c r="D342" s="2">
        <v>0</v>
      </c>
      <c r="E342" s="1" t="s">
        <v>670</v>
      </c>
      <c r="F342" s="3">
        <v>46234</v>
      </c>
      <c r="G342" s="4">
        <v>802017066</v>
      </c>
      <c r="H342" s="1" t="s">
        <v>596</v>
      </c>
      <c r="I342" s="1" t="s">
        <v>630</v>
      </c>
      <c r="J342" s="1" t="s">
        <v>23</v>
      </c>
      <c r="K342" s="2">
        <v>100000</v>
      </c>
      <c r="L342" s="1" t="s">
        <v>25</v>
      </c>
      <c r="M342" s="2" t="s">
        <v>26</v>
      </c>
      <c r="N342" s="2">
        <v>1000</v>
      </c>
      <c r="O342" s="2">
        <v>-6000</v>
      </c>
      <c r="P342" s="1" t="s">
        <v>27</v>
      </c>
    </row>
    <row r="343" spans="1:16" outlineLevel="2">
      <c r="A343" s="1" t="s">
        <v>662</v>
      </c>
      <c r="B343" s="1" t="s">
        <v>663</v>
      </c>
      <c r="C343" s="1" t="s">
        <v>664</v>
      </c>
      <c r="D343" s="2">
        <v>0</v>
      </c>
      <c r="E343" s="1" t="s">
        <v>671</v>
      </c>
      <c r="F343" s="3">
        <v>46234</v>
      </c>
      <c r="G343" s="4">
        <v>802017066</v>
      </c>
      <c r="H343" s="1" t="s">
        <v>596</v>
      </c>
      <c r="I343" s="1" t="s">
        <v>632</v>
      </c>
      <c r="J343" s="1" t="s">
        <v>23</v>
      </c>
      <c r="K343" s="2">
        <v>100000</v>
      </c>
      <c r="L343" s="1" t="s">
        <v>25</v>
      </c>
      <c r="M343" s="2" t="s">
        <v>26</v>
      </c>
      <c r="N343" s="2">
        <v>1000</v>
      </c>
      <c r="O343" s="2">
        <v>-7000</v>
      </c>
      <c r="P343" s="1" t="s">
        <v>27</v>
      </c>
    </row>
    <row r="344" spans="1:16" outlineLevel="2">
      <c r="A344" s="1" t="s">
        <v>662</v>
      </c>
      <c r="B344" s="1" t="s">
        <v>663</v>
      </c>
      <c r="C344" s="1" t="s">
        <v>664</v>
      </c>
      <c r="D344" s="2">
        <v>0</v>
      </c>
      <c r="E344" s="1" t="s">
        <v>672</v>
      </c>
      <c r="F344" s="3">
        <v>46234</v>
      </c>
      <c r="G344" s="4">
        <v>802017066</v>
      </c>
      <c r="H344" s="1" t="s">
        <v>596</v>
      </c>
      <c r="I344" s="1" t="s">
        <v>634</v>
      </c>
      <c r="J344" s="1" t="s">
        <v>23</v>
      </c>
      <c r="K344" s="2">
        <v>100000</v>
      </c>
      <c r="L344" s="1" t="s">
        <v>25</v>
      </c>
      <c r="M344" s="2" t="s">
        <v>26</v>
      </c>
      <c r="N344" s="2">
        <v>1000</v>
      </c>
      <c r="O344" s="2">
        <v>-8000</v>
      </c>
      <c r="P344" s="1" t="s">
        <v>27</v>
      </c>
    </row>
    <row r="345" spans="1:16" outlineLevel="1">
      <c r="A345" s="13" t="s">
        <v>1400</v>
      </c>
      <c r="M345" s="2">
        <f>SUBTOTAL(9,M337:M344)</f>
        <v>0</v>
      </c>
      <c r="N345" s="2">
        <f>SUBTOTAL(9,N337:N344)</f>
        <v>8000</v>
      </c>
    </row>
    <row r="346" spans="1:16" outlineLevel="2">
      <c r="A346" s="1" t="s">
        <v>673</v>
      </c>
      <c r="B346" s="1" t="s">
        <v>674</v>
      </c>
      <c r="C346" s="1" t="s">
        <v>675</v>
      </c>
      <c r="D346" s="2">
        <v>0</v>
      </c>
      <c r="E346" s="1" t="s">
        <v>546</v>
      </c>
      <c r="F346" s="3" t="s">
        <v>19</v>
      </c>
      <c r="G346" s="4">
        <v>0</v>
      </c>
      <c r="H346" s="1" t="s">
        <v>21</v>
      </c>
      <c r="I346" s="1" t="s">
        <v>22</v>
      </c>
      <c r="J346" s="1" t="s">
        <v>23</v>
      </c>
      <c r="K346" s="2" t="s">
        <v>24</v>
      </c>
      <c r="L346" s="1" t="s">
        <v>25</v>
      </c>
      <c r="M346" s="2">
        <v>0</v>
      </c>
      <c r="N346" s="2">
        <v>0</v>
      </c>
      <c r="O346" s="2">
        <v>0</v>
      </c>
      <c r="P346" s="1" t="s">
        <v>27</v>
      </c>
    </row>
    <row r="347" spans="1:16" outlineLevel="1">
      <c r="A347" s="13" t="s">
        <v>1401</v>
      </c>
      <c r="M347" s="2">
        <f>SUBTOTAL(9,M346:M346)</f>
        <v>0</v>
      </c>
      <c r="N347" s="2">
        <f>SUBTOTAL(9,N346:N346)</f>
        <v>0</v>
      </c>
    </row>
    <row r="348" spans="1:16" outlineLevel="2">
      <c r="A348" s="1" t="s">
        <v>676</v>
      </c>
      <c r="B348" s="1" t="s">
        <v>677</v>
      </c>
      <c r="C348" s="1" t="s">
        <v>678</v>
      </c>
      <c r="D348" s="2">
        <v>0</v>
      </c>
      <c r="E348" s="1" t="s">
        <v>679</v>
      </c>
      <c r="F348" s="3">
        <v>46226</v>
      </c>
      <c r="G348" s="4">
        <v>16708751</v>
      </c>
      <c r="H348" s="1" t="s">
        <v>212</v>
      </c>
      <c r="I348" s="1" t="s">
        <v>219</v>
      </c>
      <c r="J348" s="1" t="s">
        <v>23</v>
      </c>
      <c r="K348" s="2">
        <v>894000</v>
      </c>
      <c r="L348" s="1" t="s">
        <v>25</v>
      </c>
      <c r="M348" s="2" t="s">
        <v>26</v>
      </c>
      <c r="N348" s="2">
        <v>11175</v>
      </c>
      <c r="O348" s="2">
        <v>-11175</v>
      </c>
      <c r="P348" s="1" t="s">
        <v>27</v>
      </c>
    </row>
    <row r="349" spans="1:16" outlineLevel="1">
      <c r="A349" s="13" t="s">
        <v>1402</v>
      </c>
      <c r="M349" s="2">
        <f>SUBTOTAL(9,M348:M348)</f>
        <v>0</v>
      </c>
      <c r="N349" s="2">
        <f>SUBTOTAL(9,N348:N348)</f>
        <v>11175</v>
      </c>
    </row>
    <row r="350" spans="1:16" outlineLevel="2">
      <c r="A350" s="1" t="s">
        <v>680</v>
      </c>
      <c r="B350" s="1" t="s">
        <v>681</v>
      </c>
      <c r="C350" s="1" t="s">
        <v>682</v>
      </c>
      <c r="D350" s="2">
        <v>0</v>
      </c>
      <c r="E350" s="1" t="s">
        <v>546</v>
      </c>
      <c r="F350" s="3" t="s">
        <v>19</v>
      </c>
      <c r="G350" s="4">
        <v>0</v>
      </c>
      <c r="H350" s="1" t="s">
        <v>21</v>
      </c>
      <c r="I350" s="1" t="s">
        <v>22</v>
      </c>
      <c r="J350" s="1" t="s">
        <v>23</v>
      </c>
      <c r="K350" s="2" t="s">
        <v>24</v>
      </c>
      <c r="L350" s="1" t="s">
        <v>25</v>
      </c>
      <c r="M350" s="2">
        <v>0</v>
      </c>
      <c r="N350" s="2">
        <v>0</v>
      </c>
      <c r="O350" s="2">
        <v>0</v>
      </c>
      <c r="P350" s="1" t="s">
        <v>27</v>
      </c>
    </row>
    <row r="351" spans="1:16" outlineLevel="1">
      <c r="A351" s="13" t="s">
        <v>1403</v>
      </c>
      <c r="M351" s="2">
        <f>SUBTOTAL(9,M350:M350)</f>
        <v>0</v>
      </c>
      <c r="N351" s="2">
        <f>SUBTOTAL(9,N350:N350)</f>
        <v>0</v>
      </c>
    </row>
    <row r="352" spans="1:16" outlineLevel="2">
      <c r="A352" s="1" t="s">
        <v>683</v>
      </c>
      <c r="B352" s="1" t="s">
        <v>684</v>
      </c>
      <c r="C352" s="1" t="s">
        <v>685</v>
      </c>
      <c r="D352" s="2">
        <v>0</v>
      </c>
      <c r="E352" s="1" t="s">
        <v>686</v>
      </c>
      <c r="F352" s="3">
        <v>46204</v>
      </c>
      <c r="G352" s="4">
        <v>8799534</v>
      </c>
      <c r="H352" s="1" t="s">
        <v>337</v>
      </c>
      <c r="I352" s="1" t="s">
        <v>338</v>
      </c>
      <c r="J352" s="1" t="s">
        <v>23</v>
      </c>
      <c r="K352" s="2">
        <v>1750000</v>
      </c>
      <c r="L352" s="1" t="s">
        <v>25</v>
      </c>
      <c r="M352" s="2" t="s">
        <v>26</v>
      </c>
      <c r="N352" s="2">
        <v>21875</v>
      </c>
      <c r="O352" s="2">
        <v>-21875</v>
      </c>
      <c r="P352" s="1" t="s">
        <v>27</v>
      </c>
    </row>
    <row r="353" spans="1:16" outlineLevel="2">
      <c r="A353" s="1" t="s">
        <v>683</v>
      </c>
      <c r="B353" s="1" t="s">
        <v>684</v>
      </c>
      <c r="C353" s="1" t="s">
        <v>685</v>
      </c>
      <c r="D353" s="2">
        <v>0</v>
      </c>
      <c r="E353" s="1" t="s">
        <v>687</v>
      </c>
      <c r="F353" s="3">
        <v>46205</v>
      </c>
      <c r="G353" s="4">
        <v>802013446</v>
      </c>
      <c r="H353" s="1" t="s">
        <v>200</v>
      </c>
      <c r="I353" s="1" t="s">
        <v>201</v>
      </c>
      <c r="J353" s="1" t="s">
        <v>23</v>
      </c>
      <c r="K353" s="2">
        <v>6375000</v>
      </c>
      <c r="L353" s="1" t="s">
        <v>25</v>
      </c>
      <c r="M353" s="2" t="s">
        <v>26</v>
      </c>
      <c r="N353" s="2">
        <v>79687.5</v>
      </c>
      <c r="O353" s="2">
        <v>-101562.5</v>
      </c>
      <c r="P353" s="1" t="s">
        <v>27</v>
      </c>
    </row>
    <row r="354" spans="1:16" outlineLevel="2">
      <c r="A354" s="1" t="s">
        <v>683</v>
      </c>
      <c r="B354" s="1" t="s">
        <v>684</v>
      </c>
      <c r="C354" s="1" t="s">
        <v>685</v>
      </c>
      <c r="D354" s="2">
        <v>0</v>
      </c>
      <c r="E354" s="1" t="s">
        <v>688</v>
      </c>
      <c r="F354" s="3">
        <v>46210</v>
      </c>
      <c r="G354" s="4">
        <v>8738279</v>
      </c>
      <c r="H354" s="1" t="s">
        <v>352</v>
      </c>
      <c r="I354" s="1" t="s">
        <v>356</v>
      </c>
      <c r="J354" s="1" t="s">
        <v>23</v>
      </c>
      <c r="K354" s="2">
        <v>5000000</v>
      </c>
      <c r="L354" s="1" t="s">
        <v>25</v>
      </c>
      <c r="M354" s="2" t="s">
        <v>26</v>
      </c>
      <c r="N354" s="2">
        <v>62500</v>
      </c>
      <c r="O354" s="2">
        <v>-164062.5</v>
      </c>
      <c r="P354" s="1" t="s">
        <v>27</v>
      </c>
    </row>
    <row r="355" spans="1:16" outlineLevel="2">
      <c r="A355" s="1" t="s">
        <v>683</v>
      </c>
      <c r="B355" s="1" t="s">
        <v>684</v>
      </c>
      <c r="C355" s="1" t="s">
        <v>685</v>
      </c>
      <c r="D355" s="2">
        <v>0</v>
      </c>
      <c r="E355" s="1" t="s">
        <v>689</v>
      </c>
      <c r="F355" s="3">
        <v>46212</v>
      </c>
      <c r="G355" s="4">
        <v>8765600</v>
      </c>
      <c r="H355" s="1" t="s">
        <v>365</v>
      </c>
      <c r="I355" s="1" t="s">
        <v>559</v>
      </c>
      <c r="J355" s="1" t="s">
        <v>23</v>
      </c>
      <c r="K355" s="2">
        <v>315000</v>
      </c>
      <c r="L355" s="1" t="s">
        <v>25</v>
      </c>
      <c r="M355" s="2" t="s">
        <v>26</v>
      </c>
      <c r="N355" s="2">
        <v>3937.5</v>
      </c>
      <c r="O355" s="2">
        <v>-168000</v>
      </c>
      <c r="P355" s="1" t="s">
        <v>27</v>
      </c>
    </row>
    <row r="356" spans="1:16" outlineLevel="2">
      <c r="A356" s="1" t="s">
        <v>683</v>
      </c>
      <c r="B356" s="1" t="s">
        <v>684</v>
      </c>
      <c r="C356" s="1" t="s">
        <v>685</v>
      </c>
      <c r="D356" s="2">
        <v>0</v>
      </c>
      <c r="E356" s="1" t="s">
        <v>690</v>
      </c>
      <c r="F356" s="3">
        <v>46213</v>
      </c>
      <c r="G356" s="4">
        <v>72311773</v>
      </c>
      <c r="H356" s="1" t="s">
        <v>208</v>
      </c>
      <c r="I356" s="1" t="s">
        <v>209</v>
      </c>
      <c r="J356" s="1" t="s">
        <v>23</v>
      </c>
      <c r="K356" s="2">
        <v>1000000</v>
      </c>
      <c r="L356" s="1" t="s">
        <v>25</v>
      </c>
      <c r="M356" s="2" t="s">
        <v>26</v>
      </c>
      <c r="N356" s="2">
        <v>12500</v>
      </c>
      <c r="O356" s="2">
        <v>-180500</v>
      </c>
      <c r="P356" s="1" t="s">
        <v>27</v>
      </c>
    </row>
    <row r="357" spans="1:16" outlineLevel="2">
      <c r="A357" s="1" t="s">
        <v>683</v>
      </c>
      <c r="B357" s="1" t="s">
        <v>684</v>
      </c>
      <c r="C357" s="1" t="s">
        <v>685</v>
      </c>
      <c r="D357" s="2">
        <v>0</v>
      </c>
      <c r="E357" s="1" t="s">
        <v>691</v>
      </c>
      <c r="F357" s="3">
        <v>46219</v>
      </c>
      <c r="G357" s="4">
        <v>8799534</v>
      </c>
      <c r="H357" s="1" t="s">
        <v>337</v>
      </c>
      <c r="I357" s="1" t="s">
        <v>402</v>
      </c>
      <c r="J357" s="1" t="s">
        <v>23</v>
      </c>
      <c r="K357" s="2">
        <v>1750000</v>
      </c>
      <c r="L357" s="1" t="s">
        <v>25</v>
      </c>
      <c r="M357" s="2" t="s">
        <v>26</v>
      </c>
      <c r="N357" s="2">
        <v>21875</v>
      </c>
      <c r="O357" s="2">
        <v>-202375</v>
      </c>
      <c r="P357" s="1" t="s">
        <v>27</v>
      </c>
    </row>
    <row r="358" spans="1:16" outlineLevel="2">
      <c r="A358" s="1" t="s">
        <v>683</v>
      </c>
      <c r="B358" s="1" t="s">
        <v>684</v>
      </c>
      <c r="C358" s="1" t="s">
        <v>685</v>
      </c>
      <c r="D358" s="2">
        <v>0</v>
      </c>
      <c r="E358" s="1" t="s">
        <v>692</v>
      </c>
      <c r="F358" s="3">
        <v>46219</v>
      </c>
      <c r="G358" s="4">
        <v>901047340</v>
      </c>
      <c r="H358" s="1" t="s">
        <v>407</v>
      </c>
      <c r="I358" s="1" t="s">
        <v>552</v>
      </c>
      <c r="J358" s="1" t="s">
        <v>23</v>
      </c>
      <c r="K358" s="2">
        <v>500000</v>
      </c>
      <c r="L358" s="1" t="s">
        <v>25</v>
      </c>
      <c r="M358" s="2" t="s">
        <v>26</v>
      </c>
      <c r="N358" s="2">
        <v>6250</v>
      </c>
      <c r="O358" s="2">
        <v>-208625</v>
      </c>
      <c r="P358" s="1" t="s">
        <v>27</v>
      </c>
    </row>
    <row r="359" spans="1:16" outlineLevel="2">
      <c r="A359" s="1" t="s">
        <v>683</v>
      </c>
      <c r="B359" s="1" t="s">
        <v>684</v>
      </c>
      <c r="C359" s="1" t="s">
        <v>685</v>
      </c>
      <c r="D359" s="2">
        <v>0</v>
      </c>
      <c r="E359" s="1" t="s">
        <v>693</v>
      </c>
      <c r="F359" s="3">
        <v>46219</v>
      </c>
      <c r="G359" s="4">
        <v>901047340</v>
      </c>
      <c r="H359" s="1" t="s">
        <v>407</v>
      </c>
      <c r="I359" s="1" t="s">
        <v>554</v>
      </c>
      <c r="J359" s="1" t="s">
        <v>23</v>
      </c>
      <c r="K359" s="2">
        <v>500000</v>
      </c>
      <c r="L359" s="1" t="s">
        <v>25</v>
      </c>
      <c r="M359" s="2" t="s">
        <v>26</v>
      </c>
      <c r="N359" s="2">
        <v>6250</v>
      </c>
      <c r="O359" s="2">
        <v>-214875</v>
      </c>
      <c r="P359" s="1" t="s">
        <v>27</v>
      </c>
    </row>
    <row r="360" spans="1:16" outlineLevel="2">
      <c r="A360" s="1" t="s">
        <v>683</v>
      </c>
      <c r="B360" s="1" t="s">
        <v>684</v>
      </c>
      <c r="C360" s="1" t="s">
        <v>685</v>
      </c>
      <c r="D360" s="2">
        <v>0</v>
      </c>
      <c r="E360" s="1" t="s">
        <v>694</v>
      </c>
      <c r="F360" s="3">
        <v>46224</v>
      </c>
      <c r="G360" s="4">
        <v>72045410</v>
      </c>
      <c r="H360" s="1" t="s">
        <v>413</v>
      </c>
      <c r="I360" s="1" t="s">
        <v>430</v>
      </c>
      <c r="J360" s="1" t="s">
        <v>23</v>
      </c>
      <c r="K360" s="2">
        <v>1750000</v>
      </c>
      <c r="L360" s="1" t="s">
        <v>25</v>
      </c>
      <c r="M360" s="2" t="s">
        <v>26</v>
      </c>
      <c r="N360" s="2">
        <v>21875</v>
      </c>
      <c r="O360" s="2">
        <v>-236750</v>
      </c>
      <c r="P360" s="1" t="s">
        <v>27</v>
      </c>
    </row>
    <row r="361" spans="1:16" outlineLevel="2">
      <c r="A361" s="1" t="s">
        <v>683</v>
      </c>
      <c r="B361" s="1" t="s">
        <v>684</v>
      </c>
      <c r="C361" s="1" t="s">
        <v>685</v>
      </c>
      <c r="D361" s="2">
        <v>0</v>
      </c>
      <c r="E361" s="1" t="s">
        <v>695</v>
      </c>
      <c r="F361" s="3">
        <v>46230</v>
      </c>
      <c r="G361" s="4">
        <v>72045410</v>
      </c>
      <c r="H361" s="1" t="s">
        <v>413</v>
      </c>
      <c r="I361" s="1" t="s">
        <v>436</v>
      </c>
      <c r="J361" s="1" t="s">
        <v>23</v>
      </c>
      <c r="K361" s="2">
        <v>1750000</v>
      </c>
      <c r="L361" s="1" t="s">
        <v>25</v>
      </c>
      <c r="M361" s="2" t="s">
        <v>26</v>
      </c>
      <c r="N361" s="2">
        <v>21875</v>
      </c>
      <c r="O361" s="2">
        <v>-258625</v>
      </c>
      <c r="P361" s="1" t="s">
        <v>27</v>
      </c>
    </row>
    <row r="362" spans="1:16" outlineLevel="2">
      <c r="A362" s="1" t="s">
        <v>683</v>
      </c>
      <c r="B362" s="1" t="s">
        <v>684</v>
      </c>
      <c r="C362" s="1" t="s">
        <v>685</v>
      </c>
      <c r="D362" s="2">
        <v>0</v>
      </c>
      <c r="E362" s="1" t="s">
        <v>696</v>
      </c>
      <c r="F362" s="3">
        <v>46233</v>
      </c>
      <c r="G362" s="4">
        <v>32785411</v>
      </c>
      <c r="H362" s="1" t="s">
        <v>479</v>
      </c>
      <c r="I362" s="1" t="s">
        <v>480</v>
      </c>
      <c r="J362" s="1" t="s">
        <v>23</v>
      </c>
      <c r="K362" s="2">
        <v>150000</v>
      </c>
      <c r="L362" s="1" t="s">
        <v>25</v>
      </c>
      <c r="M362" s="2" t="s">
        <v>26</v>
      </c>
      <c r="N362" s="2">
        <v>1875</v>
      </c>
      <c r="O362" s="2">
        <v>-260500</v>
      </c>
      <c r="P362" s="1" t="s">
        <v>27</v>
      </c>
    </row>
    <row r="363" spans="1:16" outlineLevel="1">
      <c r="A363" s="13" t="s">
        <v>1404</v>
      </c>
      <c r="M363" s="2">
        <f>SUBTOTAL(9,M352:M362)</f>
        <v>0</v>
      </c>
      <c r="N363" s="2">
        <f>SUBTOTAL(9,N352:N362)</f>
        <v>260500</v>
      </c>
    </row>
    <row r="364" spans="1:16" outlineLevel="2">
      <c r="A364" s="1" t="s">
        <v>697</v>
      </c>
      <c r="B364" s="1" t="s">
        <v>698</v>
      </c>
      <c r="C364" s="1" t="s">
        <v>699</v>
      </c>
      <c r="D364" s="2">
        <v>-1278000</v>
      </c>
      <c r="E364" s="1" t="s">
        <v>700</v>
      </c>
      <c r="F364" s="3">
        <v>46213</v>
      </c>
      <c r="G364" s="4">
        <v>860525148</v>
      </c>
      <c r="H364" s="1" t="s">
        <v>701</v>
      </c>
      <c r="I364" s="1" t="s">
        <v>702</v>
      </c>
      <c r="J364" s="1" t="s">
        <v>703</v>
      </c>
      <c r="K364" s="2" t="s">
        <v>24</v>
      </c>
      <c r="L364" s="1" t="s">
        <v>25</v>
      </c>
      <c r="M364" s="2">
        <v>1278000</v>
      </c>
      <c r="N364" s="2" t="s">
        <v>26</v>
      </c>
      <c r="O364" s="2">
        <v>0</v>
      </c>
      <c r="P364" s="1" t="s">
        <v>27</v>
      </c>
    </row>
    <row r="365" spans="1:16" outlineLevel="1">
      <c r="A365" s="13" t="s">
        <v>1405</v>
      </c>
      <c r="M365" s="2">
        <f>SUBTOTAL(9,M364:M364)</f>
        <v>1278000</v>
      </c>
      <c r="N365" s="2">
        <f>SUBTOTAL(9,N364:N364)</f>
        <v>0</v>
      </c>
    </row>
    <row r="366" spans="1:16" outlineLevel="2">
      <c r="A366" s="1" t="s">
        <v>704</v>
      </c>
      <c r="B366" s="1" t="s">
        <v>705</v>
      </c>
      <c r="C366" s="1" t="s">
        <v>706</v>
      </c>
      <c r="D366" s="2">
        <v>719600</v>
      </c>
      <c r="E366" s="1" t="s">
        <v>707</v>
      </c>
      <c r="F366" s="3">
        <v>46234</v>
      </c>
      <c r="G366" s="4">
        <v>900156264</v>
      </c>
      <c r="H366" s="1" t="s">
        <v>708</v>
      </c>
      <c r="I366" s="1" t="s">
        <v>709</v>
      </c>
      <c r="J366" s="1" t="s">
        <v>23</v>
      </c>
      <c r="K366" s="2" t="s">
        <v>24</v>
      </c>
      <c r="L366" s="1" t="s">
        <v>25</v>
      </c>
      <c r="M366" s="2">
        <v>110000</v>
      </c>
      <c r="N366" s="2" t="s">
        <v>26</v>
      </c>
      <c r="O366" s="2">
        <v>829600</v>
      </c>
      <c r="P366" s="1" t="s">
        <v>27</v>
      </c>
    </row>
    <row r="367" spans="1:16" outlineLevel="2">
      <c r="A367" s="1" t="s">
        <v>704</v>
      </c>
      <c r="B367" s="1" t="s">
        <v>705</v>
      </c>
      <c r="C367" s="1" t="s">
        <v>706</v>
      </c>
      <c r="D367" s="2">
        <v>719600</v>
      </c>
      <c r="E367" s="1" t="s">
        <v>710</v>
      </c>
      <c r="F367" s="3">
        <v>46234</v>
      </c>
      <c r="G367" s="4">
        <v>800251440</v>
      </c>
      <c r="H367" s="1" t="s">
        <v>711</v>
      </c>
      <c r="I367" s="1" t="s">
        <v>709</v>
      </c>
      <c r="J367" s="1" t="s">
        <v>23</v>
      </c>
      <c r="K367" s="2" t="s">
        <v>24</v>
      </c>
      <c r="L367" s="1" t="s">
        <v>25</v>
      </c>
      <c r="M367" s="2">
        <v>431400</v>
      </c>
      <c r="N367" s="2" t="s">
        <v>26</v>
      </c>
      <c r="O367" s="2">
        <v>1261000</v>
      </c>
      <c r="P367" s="1" t="s">
        <v>27</v>
      </c>
    </row>
    <row r="368" spans="1:16" outlineLevel="2">
      <c r="A368" s="1" t="s">
        <v>704</v>
      </c>
      <c r="B368" s="1" t="s">
        <v>705</v>
      </c>
      <c r="C368" s="1" t="s">
        <v>706</v>
      </c>
      <c r="D368" s="2">
        <v>719600</v>
      </c>
      <c r="E368" s="1" t="s">
        <v>712</v>
      </c>
      <c r="F368" s="3">
        <v>46234</v>
      </c>
      <c r="G368" s="4">
        <v>800251440</v>
      </c>
      <c r="H368" s="1" t="s">
        <v>711</v>
      </c>
      <c r="I368" s="1" t="s">
        <v>709</v>
      </c>
      <c r="J368" s="1" t="s">
        <v>23</v>
      </c>
      <c r="K368" s="2" t="s">
        <v>24</v>
      </c>
      <c r="L368" s="1" t="s">
        <v>25</v>
      </c>
      <c r="M368" s="2">
        <v>122300</v>
      </c>
      <c r="N368" s="2" t="s">
        <v>26</v>
      </c>
      <c r="O368" s="2">
        <v>1383300</v>
      </c>
      <c r="P368" s="1" t="s">
        <v>27</v>
      </c>
    </row>
    <row r="369" spans="1:16" outlineLevel="2">
      <c r="A369" s="1" t="s">
        <v>704</v>
      </c>
      <c r="B369" s="1" t="s">
        <v>705</v>
      </c>
      <c r="C369" s="1" t="s">
        <v>706</v>
      </c>
      <c r="D369" s="2">
        <v>719600</v>
      </c>
      <c r="E369" s="1" t="s">
        <v>713</v>
      </c>
      <c r="F369" s="3">
        <v>46234</v>
      </c>
      <c r="G369" s="4">
        <v>800088702</v>
      </c>
      <c r="H369" s="1" t="s">
        <v>714</v>
      </c>
      <c r="I369" s="1" t="s">
        <v>709</v>
      </c>
      <c r="J369" s="1" t="s">
        <v>23</v>
      </c>
      <c r="K369" s="2" t="s">
        <v>24</v>
      </c>
      <c r="L369" s="1" t="s">
        <v>25</v>
      </c>
      <c r="M369" s="2">
        <v>333900</v>
      </c>
      <c r="N369" s="2" t="s">
        <v>26</v>
      </c>
      <c r="O369" s="2">
        <v>1717200</v>
      </c>
      <c r="P369" s="1" t="s">
        <v>27</v>
      </c>
    </row>
    <row r="370" spans="1:16" outlineLevel="1">
      <c r="A370" s="13" t="s">
        <v>1406</v>
      </c>
      <c r="M370" s="2">
        <f>SUBTOTAL(9,M366:M369)</f>
        <v>997600</v>
      </c>
      <c r="N370" s="2">
        <f>SUBTOTAL(9,N366:N369)</f>
        <v>0</v>
      </c>
    </row>
    <row r="371" spans="1:16" outlineLevel="2">
      <c r="A371" s="1" t="s">
        <v>715</v>
      </c>
      <c r="B371" s="1" t="s">
        <v>716</v>
      </c>
      <c r="C371" s="1" t="s">
        <v>717</v>
      </c>
      <c r="D371" s="2">
        <v>0</v>
      </c>
      <c r="E371" s="1" t="s">
        <v>718</v>
      </c>
      <c r="F371" s="3">
        <v>46234</v>
      </c>
      <c r="G371" s="4">
        <v>800226175</v>
      </c>
      <c r="H371" s="1" t="s">
        <v>719</v>
      </c>
      <c r="I371" s="1" t="s">
        <v>709</v>
      </c>
      <c r="J371" s="1" t="s">
        <v>23</v>
      </c>
      <c r="K371" s="2" t="s">
        <v>24</v>
      </c>
      <c r="L371" s="1" t="s">
        <v>25</v>
      </c>
      <c r="M371" s="2">
        <v>1735700</v>
      </c>
      <c r="N371" s="2" t="s">
        <v>26</v>
      </c>
      <c r="O371" s="2">
        <v>1735700</v>
      </c>
      <c r="P371" s="1" t="s">
        <v>27</v>
      </c>
    </row>
    <row r="372" spans="1:16" outlineLevel="1">
      <c r="A372" s="13" t="s">
        <v>1407</v>
      </c>
      <c r="M372" s="2">
        <f>SUBTOTAL(9,M371:M371)</f>
        <v>1735700</v>
      </c>
      <c r="N372" s="2">
        <f>SUBTOTAL(9,N371:N371)</f>
        <v>0</v>
      </c>
    </row>
    <row r="373" spans="1:16" outlineLevel="2">
      <c r="A373" s="1" t="s">
        <v>720</v>
      </c>
      <c r="B373" s="1" t="s">
        <v>721</v>
      </c>
      <c r="C373" s="1" t="s">
        <v>722</v>
      </c>
      <c r="D373" s="2">
        <v>0</v>
      </c>
      <c r="E373" s="1" t="s">
        <v>723</v>
      </c>
      <c r="F373" s="3">
        <v>46234</v>
      </c>
      <c r="G373" s="4">
        <v>890102002</v>
      </c>
      <c r="H373" s="1" t="s">
        <v>724</v>
      </c>
      <c r="I373" s="1" t="s">
        <v>709</v>
      </c>
      <c r="J373" s="1" t="s">
        <v>23</v>
      </c>
      <c r="K373" s="2" t="s">
        <v>24</v>
      </c>
      <c r="L373" s="1" t="s">
        <v>25</v>
      </c>
      <c r="M373" s="2">
        <v>997600</v>
      </c>
      <c r="N373" s="2" t="s">
        <v>26</v>
      </c>
      <c r="O373" s="2">
        <v>997600</v>
      </c>
      <c r="P373" s="1" t="s">
        <v>27</v>
      </c>
    </row>
    <row r="374" spans="1:16" outlineLevel="1">
      <c r="A374" s="13" t="s">
        <v>1408</v>
      </c>
      <c r="M374" s="2">
        <f>SUBTOTAL(9,M373:M373)</f>
        <v>997600</v>
      </c>
      <c r="N374" s="2">
        <f>SUBTOTAL(9,N373:N373)</f>
        <v>0</v>
      </c>
    </row>
    <row r="375" spans="1:16" outlineLevel="2">
      <c r="A375" s="1" t="s">
        <v>725</v>
      </c>
      <c r="B375" s="1" t="s">
        <v>726</v>
      </c>
      <c r="C375" s="1" t="s">
        <v>511</v>
      </c>
      <c r="D375" s="2">
        <v>-8470500</v>
      </c>
      <c r="E375" s="1" t="s">
        <v>727</v>
      </c>
      <c r="F375" s="3">
        <v>46209</v>
      </c>
      <c r="G375" s="4">
        <v>900089104</v>
      </c>
      <c r="H375" s="1" t="s">
        <v>728</v>
      </c>
      <c r="I375" s="1" t="s">
        <v>729</v>
      </c>
      <c r="J375" s="1" t="s">
        <v>542</v>
      </c>
      <c r="K375" s="2" t="s">
        <v>24</v>
      </c>
      <c r="L375" s="1" t="s">
        <v>25</v>
      </c>
      <c r="M375" s="2">
        <v>8470500</v>
      </c>
      <c r="N375" s="2" t="s">
        <v>26</v>
      </c>
      <c r="O375" s="2">
        <v>0</v>
      </c>
      <c r="P375" s="1" t="s">
        <v>27</v>
      </c>
    </row>
    <row r="376" spans="1:16" outlineLevel="2">
      <c r="A376" s="1" t="s">
        <v>725</v>
      </c>
      <c r="B376" s="1" t="s">
        <v>726</v>
      </c>
      <c r="C376" s="1" t="s">
        <v>511</v>
      </c>
      <c r="D376" s="2">
        <v>-8470500</v>
      </c>
      <c r="E376" s="1" t="s">
        <v>730</v>
      </c>
      <c r="F376" s="3">
        <v>46234</v>
      </c>
      <c r="G376" s="4">
        <v>900089104</v>
      </c>
      <c r="H376" s="1" t="s">
        <v>728</v>
      </c>
      <c r="I376" s="1" t="s">
        <v>46</v>
      </c>
      <c r="J376" s="1" t="s">
        <v>731</v>
      </c>
      <c r="K376" s="2" t="s">
        <v>24</v>
      </c>
      <c r="L376" s="1" t="s">
        <v>25</v>
      </c>
      <c r="M376" s="2" t="s">
        <v>26</v>
      </c>
      <c r="N376" s="2">
        <v>7799200</v>
      </c>
      <c r="O376" s="2">
        <v>-7799200</v>
      </c>
      <c r="P376" s="1" t="s">
        <v>27</v>
      </c>
    </row>
    <row r="377" spans="1:16" outlineLevel="1">
      <c r="A377" s="13" t="s">
        <v>1409</v>
      </c>
      <c r="M377" s="2">
        <f>SUBTOTAL(9,M375:M376)</f>
        <v>8470500</v>
      </c>
      <c r="N377" s="2">
        <f>SUBTOTAL(9,N375:N376)</f>
        <v>7799200</v>
      </c>
    </row>
    <row r="378" spans="1:16" outlineLevel="2">
      <c r="A378" s="1" t="s">
        <v>732</v>
      </c>
      <c r="B378" s="1" t="s">
        <v>733</v>
      </c>
      <c r="C378" s="1" t="s">
        <v>734</v>
      </c>
      <c r="D378" s="2">
        <v>920900</v>
      </c>
      <c r="E378" s="1" t="s">
        <v>735</v>
      </c>
      <c r="F378" s="3">
        <v>46234</v>
      </c>
      <c r="G378" s="4">
        <v>800224808</v>
      </c>
      <c r="H378" s="1" t="s">
        <v>736</v>
      </c>
      <c r="I378" s="1" t="s">
        <v>709</v>
      </c>
      <c r="J378" s="1" t="s">
        <v>23</v>
      </c>
      <c r="K378" s="2" t="s">
        <v>24</v>
      </c>
      <c r="L378" s="1" t="s">
        <v>25</v>
      </c>
      <c r="M378" s="2">
        <v>1710600</v>
      </c>
      <c r="N378" s="2" t="s">
        <v>26</v>
      </c>
      <c r="O378" s="2">
        <v>2631500</v>
      </c>
      <c r="P378" s="1" t="s">
        <v>27</v>
      </c>
    </row>
    <row r="379" spans="1:16" outlineLevel="2">
      <c r="A379" s="1" t="s">
        <v>732</v>
      </c>
      <c r="B379" s="1" t="s">
        <v>733</v>
      </c>
      <c r="C379" s="1" t="s">
        <v>734</v>
      </c>
      <c r="D379" s="2">
        <v>920900</v>
      </c>
      <c r="E379" s="1" t="s">
        <v>737</v>
      </c>
      <c r="F379" s="3">
        <v>46234</v>
      </c>
      <c r="G379" s="4">
        <v>900336004</v>
      </c>
      <c r="H379" s="1" t="s">
        <v>738</v>
      </c>
      <c r="I379" s="1" t="s">
        <v>709</v>
      </c>
      <c r="J379" s="1" t="s">
        <v>23</v>
      </c>
      <c r="K379" s="2" t="s">
        <v>24</v>
      </c>
      <c r="L379" s="1" t="s">
        <v>25</v>
      </c>
      <c r="M379" s="2">
        <v>1428900</v>
      </c>
      <c r="N379" s="2" t="s">
        <v>26</v>
      </c>
      <c r="O379" s="2">
        <v>4060400</v>
      </c>
      <c r="P379" s="1" t="s">
        <v>27</v>
      </c>
    </row>
    <row r="380" spans="1:16" outlineLevel="2">
      <c r="A380" s="1" t="s">
        <v>732</v>
      </c>
      <c r="B380" s="1" t="s">
        <v>733</v>
      </c>
      <c r="C380" s="1" t="s">
        <v>734</v>
      </c>
      <c r="D380" s="2">
        <v>920900</v>
      </c>
      <c r="E380" s="1" t="s">
        <v>739</v>
      </c>
      <c r="F380" s="3">
        <v>46234</v>
      </c>
      <c r="G380" s="4">
        <v>800227940</v>
      </c>
      <c r="H380" s="1" t="s">
        <v>740</v>
      </c>
      <c r="I380" s="1" t="s">
        <v>709</v>
      </c>
      <c r="J380" s="1" t="s">
        <v>23</v>
      </c>
      <c r="K380" s="2" t="s">
        <v>24</v>
      </c>
      <c r="L380" s="1" t="s">
        <v>25</v>
      </c>
      <c r="M380" s="2">
        <v>928800</v>
      </c>
      <c r="N380" s="2" t="s">
        <v>26</v>
      </c>
      <c r="O380" s="2">
        <v>4989200</v>
      </c>
      <c r="P380" s="1" t="s">
        <v>27</v>
      </c>
    </row>
    <row r="381" spans="1:16" outlineLevel="1">
      <c r="A381" s="13" t="s">
        <v>1410</v>
      </c>
      <c r="M381" s="2">
        <f>SUBTOTAL(9,M378:M380)</f>
        <v>4068300</v>
      </c>
      <c r="N381" s="2">
        <f>SUBTOTAL(9,N378:N380)</f>
        <v>0</v>
      </c>
    </row>
    <row r="382" spans="1:16" outlineLevel="2">
      <c r="A382" s="1" t="s">
        <v>741</v>
      </c>
      <c r="B382" s="1" t="s">
        <v>742</v>
      </c>
      <c r="C382" s="1" t="s">
        <v>511</v>
      </c>
      <c r="D382" s="2">
        <v>-46985000</v>
      </c>
      <c r="E382" s="1" t="s">
        <v>18</v>
      </c>
      <c r="F382" s="3" t="s">
        <v>19</v>
      </c>
      <c r="G382" s="4" t="s">
        <v>20</v>
      </c>
      <c r="H382" s="1" t="s">
        <v>21</v>
      </c>
      <c r="I382" s="1" t="s">
        <v>22</v>
      </c>
      <c r="J382" s="1" t="s">
        <v>23</v>
      </c>
      <c r="K382" s="2" t="s">
        <v>24</v>
      </c>
      <c r="L382" s="1" t="s">
        <v>25</v>
      </c>
      <c r="M382" s="2" t="s">
        <v>26</v>
      </c>
      <c r="N382" s="2" t="s">
        <v>26</v>
      </c>
      <c r="O382" s="2">
        <v>-46985000</v>
      </c>
      <c r="P382" s="1" t="s">
        <v>27</v>
      </c>
    </row>
    <row r="383" spans="1:16" outlineLevel="1">
      <c r="A383" s="13" t="s">
        <v>1411</v>
      </c>
      <c r="M383" s="2">
        <f>SUBTOTAL(9,M382:M382)</f>
        <v>0</v>
      </c>
      <c r="N383" s="2">
        <f>SUBTOTAL(9,N382:N382)</f>
        <v>0</v>
      </c>
    </row>
    <row r="384" spans="1:16" outlineLevel="2">
      <c r="A384" s="1" t="s">
        <v>743</v>
      </c>
      <c r="B384" s="1" t="s">
        <v>744</v>
      </c>
      <c r="C384" s="1" t="s">
        <v>745</v>
      </c>
      <c r="D384" s="2">
        <v>0</v>
      </c>
      <c r="E384" s="1" t="s">
        <v>746</v>
      </c>
      <c r="F384" s="3">
        <v>46213</v>
      </c>
      <c r="G384" s="4">
        <v>890211777</v>
      </c>
      <c r="H384" s="1" t="s">
        <v>128</v>
      </c>
      <c r="I384" s="1" t="s">
        <v>81</v>
      </c>
      <c r="J384" s="1" t="s">
        <v>23</v>
      </c>
      <c r="K384" s="2" t="s">
        <v>24</v>
      </c>
      <c r="L384" s="1" t="s">
        <v>25</v>
      </c>
      <c r="M384" s="2" t="s">
        <v>26</v>
      </c>
      <c r="N384" s="2">
        <v>123520.14</v>
      </c>
      <c r="O384" s="2">
        <v>-123520.14</v>
      </c>
      <c r="P384" s="1" t="s">
        <v>130</v>
      </c>
    </row>
    <row r="385" spans="1:16" outlineLevel="2">
      <c r="A385" s="1" t="s">
        <v>743</v>
      </c>
      <c r="B385" s="1" t="s">
        <v>744</v>
      </c>
      <c r="C385" s="1" t="s">
        <v>745</v>
      </c>
      <c r="D385" s="2">
        <v>0</v>
      </c>
      <c r="E385" s="1" t="s">
        <v>747</v>
      </c>
      <c r="F385" s="3">
        <v>46213</v>
      </c>
      <c r="G385" s="4">
        <v>890106697</v>
      </c>
      <c r="H385" s="1" t="s">
        <v>132</v>
      </c>
      <c r="I385" s="1" t="s">
        <v>41</v>
      </c>
      <c r="J385" s="1" t="s">
        <v>23</v>
      </c>
      <c r="K385" s="2" t="s">
        <v>24</v>
      </c>
      <c r="L385" s="1" t="s">
        <v>25</v>
      </c>
      <c r="M385" s="2" t="s">
        <v>26</v>
      </c>
      <c r="N385" s="2">
        <v>471951.26</v>
      </c>
      <c r="O385" s="2">
        <v>-595471.4</v>
      </c>
      <c r="P385" s="1" t="s">
        <v>134</v>
      </c>
    </row>
    <row r="386" spans="1:16" outlineLevel="2">
      <c r="A386" s="1" t="s">
        <v>743</v>
      </c>
      <c r="B386" s="1" t="s">
        <v>744</v>
      </c>
      <c r="C386" s="1" t="s">
        <v>745</v>
      </c>
      <c r="D386" s="2">
        <v>0</v>
      </c>
      <c r="E386" s="1" t="s">
        <v>748</v>
      </c>
      <c r="F386" s="3">
        <v>46213</v>
      </c>
      <c r="G386" s="4">
        <v>890106697</v>
      </c>
      <c r="H386" s="1" t="s">
        <v>132</v>
      </c>
      <c r="I386" s="1" t="s">
        <v>41</v>
      </c>
      <c r="J386" s="1" t="s">
        <v>23</v>
      </c>
      <c r="K386" s="2" t="s">
        <v>24</v>
      </c>
      <c r="L386" s="1" t="s">
        <v>25</v>
      </c>
      <c r="M386" s="2" t="s">
        <v>26</v>
      </c>
      <c r="N386" s="2">
        <v>471951.26</v>
      </c>
      <c r="O386" s="2">
        <v>-1067422.6599999999</v>
      </c>
      <c r="P386" s="1" t="s">
        <v>137</v>
      </c>
    </row>
    <row r="387" spans="1:16" outlineLevel="2">
      <c r="A387" s="1" t="s">
        <v>743</v>
      </c>
      <c r="B387" s="1" t="s">
        <v>744</v>
      </c>
      <c r="C387" s="1" t="s">
        <v>745</v>
      </c>
      <c r="D387" s="2">
        <v>0</v>
      </c>
      <c r="E387" s="1" t="s">
        <v>749</v>
      </c>
      <c r="F387" s="3">
        <v>46220</v>
      </c>
      <c r="G387" s="4">
        <v>830060331</v>
      </c>
      <c r="H387" s="1" t="s">
        <v>124</v>
      </c>
      <c r="I387" s="1" t="s">
        <v>48</v>
      </c>
      <c r="J387" s="1" t="s">
        <v>23</v>
      </c>
      <c r="K387" s="2" t="s">
        <v>24</v>
      </c>
      <c r="L387" s="1" t="s">
        <v>25</v>
      </c>
      <c r="M387" s="2" t="s">
        <v>26</v>
      </c>
      <c r="N387" s="2">
        <v>374777.07</v>
      </c>
      <c r="O387" s="2">
        <v>-1442199.73</v>
      </c>
      <c r="P387" s="1" t="s">
        <v>140</v>
      </c>
    </row>
    <row r="388" spans="1:16" outlineLevel="2">
      <c r="A388" s="1" t="s">
        <v>743</v>
      </c>
      <c r="B388" s="1" t="s">
        <v>744</v>
      </c>
      <c r="C388" s="1" t="s">
        <v>745</v>
      </c>
      <c r="D388" s="2">
        <v>0</v>
      </c>
      <c r="E388" s="1" t="s">
        <v>750</v>
      </c>
      <c r="F388" s="3">
        <v>46220</v>
      </c>
      <c r="G388" s="4">
        <v>830060331</v>
      </c>
      <c r="H388" s="1" t="s">
        <v>124</v>
      </c>
      <c r="I388" s="1" t="s">
        <v>48</v>
      </c>
      <c r="J388" s="1" t="s">
        <v>23</v>
      </c>
      <c r="K388" s="2" t="s">
        <v>24</v>
      </c>
      <c r="L388" s="1" t="s">
        <v>25</v>
      </c>
      <c r="M388" s="2" t="s">
        <v>26</v>
      </c>
      <c r="N388" s="2">
        <v>888170.66</v>
      </c>
      <c r="O388" s="2">
        <v>-2330370.39</v>
      </c>
      <c r="P388" s="1" t="s">
        <v>143</v>
      </c>
    </row>
    <row r="389" spans="1:16" outlineLevel="2">
      <c r="A389" s="1" t="s">
        <v>743</v>
      </c>
      <c r="B389" s="1" t="s">
        <v>744</v>
      </c>
      <c r="C389" s="1" t="s">
        <v>745</v>
      </c>
      <c r="D389" s="2">
        <v>0</v>
      </c>
      <c r="E389" s="1" t="s">
        <v>751</v>
      </c>
      <c r="F389" s="3">
        <v>46220</v>
      </c>
      <c r="G389" s="4">
        <v>800148462</v>
      </c>
      <c r="H389" s="1" t="s">
        <v>115</v>
      </c>
      <c r="I389" s="1" t="s">
        <v>36</v>
      </c>
      <c r="J389" s="1" t="s">
        <v>23</v>
      </c>
      <c r="K389" s="2" t="s">
        <v>24</v>
      </c>
      <c r="L389" s="1" t="s">
        <v>25</v>
      </c>
      <c r="M389" s="2" t="s">
        <v>26</v>
      </c>
      <c r="N389" s="2">
        <v>1330000</v>
      </c>
      <c r="O389" s="2">
        <v>-3660370.39</v>
      </c>
      <c r="P389" s="1" t="s">
        <v>146</v>
      </c>
    </row>
    <row r="390" spans="1:16" outlineLevel="2">
      <c r="A390" s="1" t="s">
        <v>743</v>
      </c>
      <c r="B390" s="1" t="s">
        <v>744</v>
      </c>
      <c r="C390" s="1" t="s">
        <v>745</v>
      </c>
      <c r="D390" s="2">
        <v>0</v>
      </c>
      <c r="E390" s="1" t="s">
        <v>752</v>
      </c>
      <c r="F390" s="3">
        <v>46224</v>
      </c>
      <c r="G390" s="4">
        <v>901069576</v>
      </c>
      <c r="H390" s="1" t="s">
        <v>152</v>
      </c>
      <c r="I390" s="1" t="s">
        <v>153</v>
      </c>
      <c r="J390" s="1" t="s">
        <v>23</v>
      </c>
      <c r="K390" s="2" t="s">
        <v>24</v>
      </c>
      <c r="L390" s="1" t="s">
        <v>25</v>
      </c>
      <c r="M390" s="2" t="s">
        <v>26</v>
      </c>
      <c r="N390" s="2">
        <v>570000</v>
      </c>
      <c r="O390" s="2">
        <v>-4230370.3899999997</v>
      </c>
      <c r="P390" s="1" t="s">
        <v>155</v>
      </c>
    </row>
    <row r="391" spans="1:16" outlineLevel="2">
      <c r="A391" s="1" t="s">
        <v>743</v>
      </c>
      <c r="B391" s="1" t="s">
        <v>744</v>
      </c>
      <c r="C391" s="1" t="s">
        <v>745</v>
      </c>
      <c r="D391" s="2">
        <v>0</v>
      </c>
      <c r="E391" s="1" t="s">
        <v>753</v>
      </c>
      <c r="F391" s="3">
        <v>46227</v>
      </c>
      <c r="G391" s="4">
        <v>901226733</v>
      </c>
      <c r="H391" s="1" t="s">
        <v>163</v>
      </c>
      <c r="I391" s="1" t="s">
        <v>101</v>
      </c>
      <c r="J391" s="1" t="s">
        <v>23</v>
      </c>
      <c r="K391" s="2" t="s">
        <v>24</v>
      </c>
      <c r="L391" s="1" t="s">
        <v>25</v>
      </c>
      <c r="M391" s="2" t="s">
        <v>26</v>
      </c>
      <c r="N391" s="2">
        <v>1706785.96</v>
      </c>
      <c r="O391" s="2">
        <v>-5937156.3499999996</v>
      </c>
      <c r="P391" s="1" t="s">
        <v>165</v>
      </c>
    </row>
    <row r="392" spans="1:16" outlineLevel="2">
      <c r="A392" s="1" t="s">
        <v>743</v>
      </c>
      <c r="B392" s="1" t="s">
        <v>744</v>
      </c>
      <c r="C392" s="1" t="s">
        <v>745</v>
      </c>
      <c r="D392" s="2">
        <v>0</v>
      </c>
      <c r="E392" s="1" t="s">
        <v>754</v>
      </c>
      <c r="F392" s="3">
        <v>46227</v>
      </c>
      <c r="G392" s="4">
        <v>830060331</v>
      </c>
      <c r="H392" s="1" t="s">
        <v>124</v>
      </c>
      <c r="I392" s="1" t="s">
        <v>48</v>
      </c>
      <c r="J392" s="1" t="s">
        <v>23</v>
      </c>
      <c r="K392" s="2" t="s">
        <v>24</v>
      </c>
      <c r="L392" s="1" t="s">
        <v>25</v>
      </c>
      <c r="M392" s="2" t="s">
        <v>26</v>
      </c>
      <c r="N392" s="2">
        <v>888170.66</v>
      </c>
      <c r="O392" s="2">
        <v>-6825327.0099999998</v>
      </c>
      <c r="P392" s="1" t="s">
        <v>168</v>
      </c>
    </row>
    <row r="393" spans="1:16" outlineLevel="2">
      <c r="A393" s="1" t="s">
        <v>743</v>
      </c>
      <c r="B393" s="1" t="s">
        <v>744</v>
      </c>
      <c r="C393" s="1" t="s">
        <v>745</v>
      </c>
      <c r="D393" s="2">
        <v>0</v>
      </c>
      <c r="E393" s="1" t="s">
        <v>755</v>
      </c>
      <c r="F393" s="3">
        <v>46227</v>
      </c>
      <c r="G393" s="4">
        <v>890106697</v>
      </c>
      <c r="H393" s="1" t="s">
        <v>132</v>
      </c>
      <c r="I393" s="1" t="s">
        <v>41</v>
      </c>
      <c r="J393" s="1" t="s">
        <v>23</v>
      </c>
      <c r="K393" s="2" t="s">
        <v>24</v>
      </c>
      <c r="L393" s="1" t="s">
        <v>25</v>
      </c>
      <c r="M393" s="2" t="s">
        <v>26</v>
      </c>
      <c r="N393" s="2">
        <v>165123.87</v>
      </c>
      <c r="O393" s="2">
        <v>-6990450.8799999999</v>
      </c>
      <c r="P393" s="1" t="s">
        <v>171</v>
      </c>
    </row>
    <row r="394" spans="1:16" outlineLevel="2">
      <c r="A394" s="1" t="s">
        <v>743</v>
      </c>
      <c r="B394" s="1" t="s">
        <v>744</v>
      </c>
      <c r="C394" s="1" t="s">
        <v>745</v>
      </c>
      <c r="D394" s="2">
        <v>0</v>
      </c>
      <c r="E394" s="1" t="s">
        <v>756</v>
      </c>
      <c r="F394" s="3">
        <v>46230</v>
      </c>
      <c r="G394" s="4">
        <v>900268901</v>
      </c>
      <c r="H394" s="1" t="s">
        <v>189</v>
      </c>
      <c r="I394" s="1" t="s">
        <v>190</v>
      </c>
      <c r="J394" s="1" t="s">
        <v>23</v>
      </c>
      <c r="K394" s="2" t="s">
        <v>24</v>
      </c>
      <c r="L394" s="1" t="s">
        <v>25</v>
      </c>
      <c r="M394" s="2" t="s">
        <v>26</v>
      </c>
      <c r="N394" s="2">
        <v>2351149.4900000002</v>
      </c>
      <c r="O394" s="2">
        <v>-9341600.3699999992</v>
      </c>
      <c r="P394" s="1" t="s">
        <v>192</v>
      </c>
    </row>
    <row r="395" spans="1:16" outlineLevel="1">
      <c r="A395" s="13" t="s">
        <v>1412</v>
      </c>
      <c r="M395" s="2">
        <f>SUBTOTAL(9,M384:M394)</f>
        <v>0</v>
      </c>
      <c r="N395" s="2">
        <f>SUBTOTAL(9,N384:N394)</f>
        <v>9341600.370000001</v>
      </c>
    </row>
    <row r="396" spans="1:16" outlineLevel="2">
      <c r="A396" s="1" t="s">
        <v>757</v>
      </c>
      <c r="B396" s="1" t="s">
        <v>758</v>
      </c>
      <c r="C396" s="1" t="s">
        <v>759</v>
      </c>
      <c r="D396" s="2">
        <v>0</v>
      </c>
      <c r="E396" s="1" t="s">
        <v>546</v>
      </c>
      <c r="F396" s="3" t="s">
        <v>19</v>
      </c>
      <c r="G396" s="4">
        <v>0</v>
      </c>
      <c r="H396" s="1" t="s">
        <v>21</v>
      </c>
      <c r="I396" s="1" t="s">
        <v>22</v>
      </c>
      <c r="J396" s="1" t="s">
        <v>23</v>
      </c>
      <c r="K396" s="2" t="s">
        <v>24</v>
      </c>
      <c r="L396" s="1" t="s">
        <v>25</v>
      </c>
      <c r="M396" s="2">
        <v>0</v>
      </c>
      <c r="N396" s="2">
        <v>0</v>
      </c>
      <c r="O396" s="2">
        <v>0</v>
      </c>
      <c r="P396" s="1" t="s">
        <v>192</v>
      </c>
    </row>
    <row r="397" spans="1:16" outlineLevel="1">
      <c r="A397" s="13" t="s">
        <v>1413</v>
      </c>
      <c r="M397" s="2">
        <f>SUBTOTAL(9,M396:M396)</f>
        <v>0</v>
      </c>
      <c r="N397" s="2">
        <f>SUBTOTAL(9,N396:N396)</f>
        <v>0</v>
      </c>
    </row>
    <row r="398" spans="1:16" outlineLevel="2">
      <c r="A398" s="1" t="s">
        <v>760</v>
      </c>
      <c r="B398" s="1" t="s">
        <v>761</v>
      </c>
      <c r="C398" s="1" t="s">
        <v>762</v>
      </c>
      <c r="D398" s="2">
        <v>0</v>
      </c>
      <c r="E398" s="1" t="s">
        <v>763</v>
      </c>
      <c r="F398" s="3">
        <v>46211</v>
      </c>
      <c r="G398" s="4">
        <v>901853183</v>
      </c>
      <c r="H398" s="1" t="s">
        <v>469</v>
      </c>
      <c r="I398" s="1" t="s">
        <v>764</v>
      </c>
      <c r="J398" s="1" t="s">
        <v>23</v>
      </c>
      <c r="K398" s="2">
        <v>255050.39</v>
      </c>
      <c r="L398" s="1" t="s">
        <v>25</v>
      </c>
      <c r="M398" s="2">
        <v>48459.61</v>
      </c>
      <c r="N398" s="2" t="s">
        <v>26</v>
      </c>
      <c r="O398" s="2">
        <v>48459.61</v>
      </c>
      <c r="P398" s="1" t="s">
        <v>27</v>
      </c>
    </row>
    <row r="399" spans="1:16" outlineLevel="2">
      <c r="A399" s="1" t="s">
        <v>760</v>
      </c>
      <c r="B399" s="1" t="s">
        <v>761</v>
      </c>
      <c r="C399" s="1" t="s">
        <v>762</v>
      </c>
      <c r="D399" s="2">
        <v>0</v>
      </c>
      <c r="E399" s="1" t="s">
        <v>765</v>
      </c>
      <c r="F399" s="3">
        <v>46217</v>
      </c>
      <c r="G399" s="4">
        <v>60398066</v>
      </c>
      <c r="H399" s="1" t="s">
        <v>766</v>
      </c>
      <c r="I399" s="1" t="s">
        <v>767</v>
      </c>
      <c r="J399" s="1" t="s">
        <v>23</v>
      </c>
      <c r="K399" s="2">
        <v>336135</v>
      </c>
      <c r="L399" s="1" t="s">
        <v>25</v>
      </c>
      <c r="M399" s="2">
        <v>63866</v>
      </c>
      <c r="N399" s="2" t="s">
        <v>26</v>
      </c>
      <c r="O399" s="2">
        <v>112325.61</v>
      </c>
      <c r="P399" s="1" t="s">
        <v>27</v>
      </c>
    </row>
    <row r="400" spans="1:16" outlineLevel="2">
      <c r="A400" s="1" t="s">
        <v>760</v>
      </c>
      <c r="B400" s="1" t="s">
        <v>761</v>
      </c>
      <c r="C400" s="1" t="s">
        <v>762</v>
      </c>
      <c r="D400" s="2">
        <v>0</v>
      </c>
      <c r="E400" s="1" t="s">
        <v>768</v>
      </c>
      <c r="F400" s="3">
        <v>46219</v>
      </c>
      <c r="G400" s="4">
        <v>901296815</v>
      </c>
      <c r="H400" s="1" t="s">
        <v>395</v>
      </c>
      <c r="I400" s="1" t="s">
        <v>658</v>
      </c>
      <c r="J400" s="1" t="s">
        <v>23</v>
      </c>
      <c r="K400" s="2">
        <v>2355006</v>
      </c>
      <c r="L400" s="1" t="s">
        <v>25</v>
      </c>
      <c r="M400" s="2">
        <v>447451.14</v>
      </c>
      <c r="N400" s="2" t="s">
        <v>26</v>
      </c>
      <c r="O400" s="2">
        <v>559776.75</v>
      </c>
      <c r="P400" s="1" t="s">
        <v>27</v>
      </c>
    </row>
    <row r="401" spans="1:16" outlineLevel="2">
      <c r="A401" s="1" t="s">
        <v>760</v>
      </c>
      <c r="B401" s="1" t="s">
        <v>761</v>
      </c>
      <c r="C401" s="1" t="s">
        <v>762</v>
      </c>
      <c r="D401" s="2">
        <v>0</v>
      </c>
      <c r="E401" s="1" t="s">
        <v>769</v>
      </c>
      <c r="F401" s="3">
        <v>46219</v>
      </c>
      <c r="G401" s="4">
        <v>60398066</v>
      </c>
      <c r="H401" s="1" t="s">
        <v>766</v>
      </c>
      <c r="I401" s="1" t="s">
        <v>770</v>
      </c>
      <c r="J401" s="1" t="s">
        <v>23</v>
      </c>
      <c r="K401" s="2">
        <v>210084</v>
      </c>
      <c r="L401" s="1" t="s">
        <v>25</v>
      </c>
      <c r="M401" s="2">
        <v>39916</v>
      </c>
      <c r="N401" s="2" t="s">
        <v>26</v>
      </c>
      <c r="O401" s="2">
        <v>599692.75</v>
      </c>
      <c r="P401" s="1" t="s">
        <v>27</v>
      </c>
    </row>
    <row r="402" spans="1:16" outlineLevel="2">
      <c r="A402" s="1" t="s">
        <v>760</v>
      </c>
      <c r="B402" s="1" t="s">
        <v>761</v>
      </c>
      <c r="C402" s="1" t="s">
        <v>762</v>
      </c>
      <c r="D402" s="2">
        <v>0</v>
      </c>
      <c r="E402" s="1" t="s">
        <v>771</v>
      </c>
      <c r="F402" s="3">
        <v>46224</v>
      </c>
      <c r="G402" s="4">
        <v>900475439</v>
      </c>
      <c r="H402" s="1" t="s">
        <v>425</v>
      </c>
      <c r="I402" s="1" t="s">
        <v>772</v>
      </c>
      <c r="J402" s="1" t="s">
        <v>23</v>
      </c>
      <c r="K402" s="2">
        <v>287343</v>
      </c>
      <c r="L402" s="1" t="s">
        <v>25</v>
      </c>
      <c r="M402" s="2">
        <v>54595.17</v>
      </c>
      <c r="N402" s="2" t="s">
        <v>26</v>
      </c>
      <c r="O402" s="2">
        <v>654287.92000000004</v>
      </c>
      <c r="P402" s="1" t="s">
        <v>27</v>
      </c>
    </row>
    <row r="403" spans="1:16" outlineLevel="2">
      <c r="A403" s="1" t="s">
        <v>760</v>
      </c>
      <c r="B403" s="1" t="s">
        <v>761</v>
      </c>
      <c r="C403" s="1" t="s">
        <v>762</v>
      </c>
      <c r="D403" s="2">
        <v>0</v>
      </c>
      <c r="E403" s="1" t="s">
        <v>773</v>
      </c>
      <c r="F403" s="3">
        <v>46226</v>
      </c>
      <c r="G403" s="4">
        <v>16708751</v>
      </c>
      <c r="H403" s="1" t="s">
        <v>212</v>
      </c>
      <c r="I403" s="1" t="s">
        <v>219</v>
      </c>
      <c r="J403" s="1" t="s">
        <v>23</v>
      </c>
      <c r="K403" s="2">
        <v>894000</v>
      </c>
      <c r="L403" s="1" t="s">
        <v>25</v>
      </c>
      <c r="M403" s="2">
        <v>169860</v>
      </c>
      <c r="N403" s="2" t="s">
        <v>26</v>
      </c>
      <c r="O403" s="2">
        <v>824147.92</v>
      </c>
      <c r="P403" s="1" t="s">
        <v>27</v>
      </c>
    </row>
    <row r="404" spans="1:16" outlineLevel="2">
      <c r="A404" s="1" t="s">
        <v>760</v>
      </c>
      <c r="B404" s="1" t="s">
        <v>761</v>
      </c>
      <c r="C404" s="1" t="s">
        <v>762</v>
      </c>
      <c r="D404" s="2">
        <v>0</v>
      </c>
      <c r="E404" s="1" t="s">
        <v>774</v>
      </c>
      <c r="F404" s="3">
        <v>46233</v>
      </c>
      <c r="G404" s="4">
        <v>900276962</v>
      </c>
      <c r="H404" s="1" t="s">
        <v>461</v>
      </c>
      <c r="I404" s="1" t="s">
        <v>775</v>
      </c>
      <c r="J404" s="1" t="s">
        <v>23</v>
      </c>
      <c r="K404" s="2">
        <v>30840.33</v>
      </c>
      <c r="L404" s="1" t="s">
        <v>25</v>
      </c>
      <c r="M404" s="2">
        <v>5859.67</v>
      </c>
      <c r="N404" s="2" t="s">
        <v>26</v>
      </c>
      <c r="O404" s="2">
        <v>830007.59</v>
      </c>
      <c r="P404" s="1" t="s">
        <v>27</v>
      </c>
    </row>
    <row r="405" spans="1:16" outlineLevel="2">
      <c r="A405" s="1" t="s">
        <v>760</v>
      </c>
      <c r="B405" s="1" t="s">
        <v>761</v>
      </c>
      <c r="C405" s="1" t="s">
        <v>762</v>
      </c>
      <c r="D405" s="2">
        <v>0</v>
      </c>
      <c r="E405" s="1" t="s">
        <v>776</v>
      </c>
      <c r="F405" s="3">
        <v>46233</v>
      </c>
      <c r="G405" s="4">
        <v>830112317</v>
      </c>
      <c r="H405" s="1" t="s">
        <v>777</v>
      </c>
      <c r="I405" s="1" t="s">
        <v>778</v>
      </c>
      <c r="J405" s="1" t="s">
        <v>23</v>
      </c>
      <c r="K405" s="2">
        <v>21680.68</v>
      </c>
      <c r="L405" s="1" t="s">
        <v>25</v>
      </c>
      <c r="M405" s="2">
        <v>4119.32</v>
      </c>
      <c r="N405" s="2" t="s">
        <v>26</v>
      </c>
      <c r="O405" s="2">
        <v>834126.91</v>
      </c>
      <c r="P405" s="1" t="s">
        <v>27</v>
      </c>
    </row>
    <row r="406" spans="1:16" outlineLevel="2">
      <c r="A406" s="1" t="s">
        <v>760</v>
      </c>
      <c r="B406" s="1" t="s">
        <v>761</v>
      </c>
      <c r="C406" s="1" t="s">
        <v>762</v>
      </c>
      <c r="D406" s="2">
        <v>0</v>
      </c>
      <c r="E406" s="1" t="s">
        <v>779</v>
      </c>
      <c r="F406" s="3">
        <v>46233</v>
      </c>
      <c r="G406" s="4">
        <v>901564924</v>
      </c>
      <c r="H406" s="1" t="s">
        <v>780</v>
      </c>
      <c r="I406" s="1" t="s">
        <v>781</v>
      </c>
      <c r="J406" s="1" t="s">
        <v>23</v>
      </c>
      <c r="K406" s="2">
        <v>18487</v>
      </c>
      <c r="L406" s="1" t="s">
        <v>25</v>
      </c>
      <c r="M406" s="2">
        <v>3513</v>
      </c>
      <c r="N406" s="2" t="s">
        <v>26</v>
      </c>
      <c r="O406" s="2">
        <v>837639.91</v>
      </c>
      <c r="P406" s="1" t="s">
        <v>27</v>
      </c>
    </row>
    <row r="407" spans="1:16" outlineLevel="2">
      <c r="A407" s="1" t="s">
        <v>760</v>
      </c>
      <c r="B407" s="1" t="s">
        <v>761</v>
      </c>
      <c r="C407" s="1" t="s">
        <v>762</v>
      </c>
      <c r="D407" s="2">
        <v>0</v>
      </c>
      <c r="E407" s="1" t="s">
        <v>782</v>
      </c>
      <c r="F407" s="3">
        <v>46233</v>
      </c>
      <c r="G407" s="4">
        <v>890110294</v>
      </c>
      <c r="H407" s="1" t="s">
        <v>783</v>
      </c>
      <c r="I407" s="1" t="s">
        <v>784</v>
      </c>
      <c r="J407" s="1" t="s">
        <v>23</v>
      </c>
      <c r="K407" s="2">
        <v>55000</v>
      </c>
      <c r="L407" s="1" t="s">
        <v>25</v>
      </c>
      <c r="M407" s="2">
        <v>10450</v>
      </c>
      <c r="N407" s="2" t="s">
        <v>26</v>
      </c>
      <c r="O407" s="2">
        <v>848089.91</v>
      </c>
      <c r="P407" s="1" t="s">
        <v>27</v>
      </c>
    </row>
    <row r="408" spans="1:16" outlineLevel="2">
      <c r="A408" s="1" t="s">
        <v>760</v>
      </c>
      <c r="B408" s="1" t="s">
        <v>761</v>
      </c>
      <c r="C408" s="1" t="s">
        <v>762</v>
      </c>
      <c r="D408" s="2">
        <v>0</v>
      </c>
      <c r="E408" s="1" t="s">
        <v>785</v>
      </c>
      <c r="F408" s="3">
        <v>46233</v>
      </c>
      <c r="G408" s="4">
        <v>901853183</v>
      </c>
      <c r="H408" s="1" t="s">
        <v>469</v>
      </c>
      <c r="I408" s="1" t="s">
        <v>786</v>
      </c>
      <c r="J408" s="1" t="s">
        <v>23</v>
      </c>
      <c r="K408" s="2">
        <v>47647</v>
      </c>
      <c r="L408" s="1" t="s">
        <v>25</v>
      </c>
      <c r="M408" s="2">
        <v>9053</v>
      </c>
      <c r="N408" s="2" t="s">
        <v>26</v>
      </c>
      <c r="O408" s="2">
        <v>857142.91</v>
      </c>
      <c r="P408" s="1" t="s">
        <v>27</v>
      </c>
    </row>
    <row r="409" spans="1:16" outlineLevel="2">
      <c r="A409" s="1" t="s">
        <v>760</v>
      </c>
      <c r="B409" s="1" t="s">
        <v>761</v>
      </c>
      <c r="C409" s="1" t="s">
        <v>762</v>
      </c>
      <c r="D409" s="2">
        <v>0</v>
      </c>
      <c r="E409" s="1" t="s">
        <v>787</v>
      </c>
      <c r="F409" s="3">
        <v>46233</v>
      </c>
      <c r="G409" s="4">
        <v>901853183</v>
      </c>
      <c r="H409" s="1" t="s">
        <v>469</v>
      </c>
      <c r="I409" s="1" t="s">
        <v>788</v>
      </c>
      <c r="J409" s="1" t="s">
        <v>23</v>
      </c>
      <c r="K409" s="2">
        <v>73389</v>
      </c>
      <c r="L409" s="1" t="s">
        <v>25</v>
      </c>
      <c r="M409" s="2">
        <v>13944</v>
      </c>
      <c r="N409" s="2" t="s">
        <v>26</v>
      </c>
      <c r="O409" s="2">
        <v>871086.91</v>
      </c>
      <c r="P409" s="1" t="s">
        <v>27</v>
      </c>
    </row>
    <row r="410" spans="1:16" outlineLevel="2">
      <c r="A410" s="1" t="s">
        <v>760</v>
      </c>
      <c r="B410" s="1" t="s">
        <v>761</v>
      </c>
      <c r="C410" s="1" t="s">
        <v>762</v>
      </c>
      <c r="D410" s="2">
        <v>0</v>
      </c>
      <c r="E410" s="1" t="s">
        <v>789</v>
      </c>
      <c r="F410" s="3">
        <v>46233</v>
      </c>
      <c r="G410" s="4">
        <v>901853183</v>
      </c>
      <c r="H410" s="1" t="s">
        <v>469</v>
      </c>
      <c r="I410" s="1" t="s">
        <v>790</v>
      </c>
      <c r="J410" s="1" t="s">
        <v>23</v>
      </c>
      <c r="K410" s="2">
        <v>130355</v>
      </c>
      <c r="L410" s="1" t="s">
        <v>25</v>
      </c>
      <c r="M410" s="2">
        <v>24767</v>
      </c>
      <c r="N410" s="2" t="s">
        <v>26</v>
      </c>
      <c r="O410" s="2">
        <v>895853.91</v>
      </c>
      <c r="P410" s="1" t="s">
        <v>27</v>
      </c>
    </row>
    <row r="411" spans="1:16" outlineLevel="2">
      <c r="A411" s="1" t="s">
        <v>760</v>
      </c>
      <c r="B411" s="1" t="s">
        <v>761</v>
      </c>
      <c r="C411" s="1" t="s">
        <v>762</v>
      </c>
      <c r="D411" s="2">
        <v>0</v>
      </c>
      <c r="E411" s="1" t="s">
        <v>791</v>
      </c>
      <c r="F411" s="3">
        <v>46234</v>
      </c>
      <c r="G411" s="4">
        <v>900491889</v>
      </c>
      <c r="H411" s="1" t="s">
        <v>792</v>
      </c>
      <c r="I411" s="1" t="s">
        <v>793</v>
      </c>
      <c r="J411" s="1" t="s">
        <v>23</v>
      </c>
      <c r="K411" s="2">
        <v>28655.16</v>
      </c>
      <c r="L411" s="1" t="s">
        <v>25</v>
      </c>
      <c r="M411" s="2">
        <v>5444.54</v>
      </c>
      <c r="N411" s="2" t="s">
        <v>26</v>
      </c>
      <c r="O411" s="2">
        <v>901298.45</v>
      </c>
      <c r="P411" s="1" t="s">
        <v>27</v>
      </c>
    </row>
    <row r="412" spans="1:16" outlineLevel="2">
      <c r="A412" s="1" t="s">
        <v>760</v>
      </c>
      <c r="B412" s="1" t="s">
        <v>761</v>
      </c>
      <c r="C412" s="1" t="s">
        <v>762</v>
      </c>
      <c r="D412" s="2">
        <v>0</v>
      </c>
      <c r="E412" s="1" t="s">
        <v>794</v>
      </c>
      <c r="F412" s="3">
        <v>46234</v>
      </c>
      <c r="G412" s="4">
        <v>890800788</v>
      </c>
      <c r="H412" s="1" t="s">
        <v>795</v>
      </c>
      <c r="I412" s="1" t="s">
        <v>796</v>
      </c>
      <c r="J412" s="1" t="s">
        <v>23</v>
      </c>
      <c r="K412" s="2">
        <v>135514</v>
      </c>
      <c r="L412" s="1" t="s">
        <v>25</v>
      </c>
      <c r="M412" s="2">
        <v>25748</v>
      </c>
      <c r="N412" s="2" t="s">
        <v>26</v>
      </c>
      <c r="O412" s="2">
        <v>927046.45</v>
      </c>
      <c r="P412" s="1" t="s">
        <v>27</v>
      </c>
    </row>
    <row r="413" spans="1:16" outlineLevel="2">
      <c r="A413" s="1" t="s">
        <v>760</v>
      </c>
      <c r="B413" s="1" t="s">
        <v>761</v>
      </c>
      <c r="C413" s="1" t="s">
        <v>762</v>
      </c>
      <c r="D413" s="2">
        <v>0</v>
      </c>
      <c r="E413" s="1" t="s">
        <v>797</v>
      </c>
      <c r="F413" s="3">
        <v>46234</v>
      </c>
      <c r="G413" s="4">
        <v>830112317</v>
      </c>
      <c r="H413" s="1" t="s">
        <v>777</v>
      </c>
      <c r="I413" s="1" t="s">
        <v>798</v>
      </c>
      <c r="J413" s="1" t="s">
        <v>23</v>
      </c>
      <c r="K413" s="2">
        <v>17647.060000000001</v>
      </c>
      <c r="L413" s="1" t="s">
        <v>25</v>
      </c>
      <c r="M413" s="2">
        <v>3352.94</v>
      </c>
      <c r="N413" s="2" t="s">
        <v>26</v>
      </c>
      <c r="O413" s="2">
        <v>930399.39</v>
      </c>
      <c r="P413" s="1" t="s">
        <v>27</v>
      </c>
    </row>
    <row r="414" spans="1:16" outlineLevel="2">
      <c r="A414" s="1" t="s">
        <v>760</v>
      </c>
      <c r="B414" s="1" t="s">
        <v>761</v>
      </c>
      <c r="C414" s="1" t="s">
        <v>762</v>
      </c>
      <c r="D414" s="2">
        <v>0</v>
      </c>
      <c r="E414" s="1" t="s">
        <v>799</v>
      </c>
      <c r="F414" s="3">
        <v>46234</v>
      </c>
      <c r="G414" s="4">
        <v>32622761</v>
      </c>
      <c r="H414" s="1" t="s">
        <v>800</v>
      </c>
      <c r="I414" s="1" t="s">
        <v>801</v>
      </c>
      <c r="J414" s="1" t="s">
        <v>23</v>
      </c>
      <c r="K414" s="2">
        <v>26890.76</v>
      </c>
      <c r="L414" s="1" t="s">
        <v>25</v>
      </c>
      <c r="M414" s="2">
        <v>5109.24</v>
      </c>
      <c r="N414" s="2" t="s">
        <v>26</v>
      </c>
      <c r="O414" s="2">
        <v>935508.63</v>
      </c>
      <c r="P414" s="1" t="s">
        <v>27</v>
      </c>
    </row>
    <row r="415" spans="1:16" outlineLevel="1">
      <c r="A415" s="13" t="s">
        <v>1414</v>
      </c>
      <c r="M415" s="2">
        <f>SUBTOTAL(9,M398:M414)</f>
        <v>935508.63</v>
      </c>
      <c r="N415" s="2">
        <f>SUBTOTAL(9,N398:N414)</f>
        <v>0</v>
      </c>
    </row>
    <row r="416" spans="1:16" outlineLevel="2">
      <c r="A416" s="1" t="s">
        <v>802</v>
      </c>
      <c r="B416" s="1" t="s">
        <v>803</v>
      </c>
      <c r="C416" s="1" t="s">
        <v>804</v>
      </c>
      <c r="D416" s="2">
        <v>0</v>
      </c>
      <c r="E416" s="1" t="s">
        <v>805</v>
      </c>
      <c r="F416" s="3">
        <v>46205</v>
      </c>
      <c r="G416" s="4">
        <v>802013446</v>
      </c>
      <c r="H416" s="1" t="s">
        <v>200</v>
      </c>
      <c r="I416" s="1" t="s">
        <v>201</v>
      </c>
      <c r="J416" s="1" t="s">
        <v>23</v>
      </c>
      <c r="K416" s="2">
        <v>6375000</v>
      </c>
      <c r="L416" s="1" t="s">
        <v>25</v>
      </c>
      <c r="M416" s="2">
        <v>1211250</v>
      </c>
      <c r="N416" s="2" t="s">
        <v>26</v>
      </c>
      <c r="O416" s="2">
        <v>1211250</v>
      </c>
      <c r="P416" s="1" t="s">
        <v>27</v>
      </c>
    </row>
    <row r="417" spans="1:16" outlineLevel="2">
      <c r="A417" s="1" t="s">
        <v>802</v>
      </c>
      <c r="B417" s="1" t="s">
        <v>803</v>
      </c>
      <c r="C417" s="1" t="s">
        <v>804</v>
      </c>
      <c r="D417" s="2">
        <v>0</v>
      </c>
      <c r="E417" s="1" t="s">
        <v>806</v>
      </c>
      <c r="F417" s="3">
        <v>46213</v>
      </c>
      <c r="G417" s="4">
        <v>901465587</v>
      </c>
      <c r="H417" s="1" t="s">
        <v>377</v>
      </c>
      <c r="I417" s="1" t="s">
        <v>561</v>
      </c>
      <c r="J417" s="1" t="s">
        <v>23</v>
      </c>
      <c r="K417" s="2">
        <v>1250000</v>
      </c>
      <c r="L417" s="1" t="s">
        <v>25</v>
      </c>
      <c r="M417" s="2">
        <v>237500</v>
      </c>
      <c r="N417" s="2" t="s">
        <v>26</v>
      </c>
      <c r="O417" s="2">
        <v>1448750</v>
      </c>
      <c r="P417" s="1" t="s">
        <v>27</v>
      </c>
    </row>
    <row r="418" spans="1:16" outlineLevel="2">
      <c r="A418" s="1" t="s">
        <v>802</v>
      </c>
      <c r="B418" s="1" t="s">
        <v>803</v>
      </c>
      <c r="C418" s="1" t="s">
        <v>804</v>
      </c>
      <c r="D418" s="2">
        <v>0</v>
      </c>
      <c r="E418" s="1" t="s">
        <v>807</v>
      </c>
      <c r="F418" s="3">
        <v>46219</v>
      </c>
      <c r="G418" s="4">
        <v>901047340</v>
      </c>
      <c r="H418" s="1" t="s">
        <v>407</v>
      </c>
      <c r="I418" s="1" t="s">
        <v>552</v>
      </c>
      <c r="J418" s="1" t="s">
        <v>23</v>
      </c>
      <c r="K418" s="2">
        <v>500000</v>
      </c>
      <c r="L418" s="1" t="s">
        <v>25</v>
      </c>
      <c r="M418" s="2">
        <v>95000</v>
      </c>
      <c r="N418" s="2" t="s">
        <v>26</v>
      </c>
      <c r="O418" s="2">
        <v>1543750</v>
      </c>
      <c r="P418" s="1" t="s">
        <v>27</v>
      </c>
    </row>
    <row r="419" spans="1:16" outlineLevel="2">
      <c r="A419" s="1" t="s">
        <v>802</v>
      </c>
      <c r="B419" s="1" t="s">
        <v>803</v>
      </c>
      <c r="C419" s="1" t="s">
        <v>804</v>
      </c>
      <c r="D419" s="2">
        <v>0</v>
      </c>
      <c r="E419" s="1" t="s">
        <v>808</v>
      </c>
      <c r="F419" s="3">
        <v>46219</v>
      </c>
      <c r="G419" s="4">
        <v>901047340</v>
      </c>
      <c r="H419" s="1" t="s">
        <v>407</v>
      </c>
      <c r="I419" s="1" t="s">
        <v>554</v>
      </c>
      <c r="J419" s="1" t="s">
        <v>23</v>
      </c>
      <c r="K419" s="2">
        <v>500000</v>
      </c>
      <c r="L419" s="1" t="s">
        <v>25</v>
      </c>
      <c r="M419" s="2">
        <v>95000</v>
      </c>
      <c r="N419" s="2" t="s">
        <v>26</v>
      </c>
      <c r="O419" s="2">
        <v>1638750</v>
      </c>
      <c r="P419" s="1" t="s">
        <v>27</v>
      </c>
    </row>
    <row r="420" spans="1:16" outlineLevel="2">
      <c r="A420" s="1" t="s">
        <v>802</v>
      </c>
      <c r="B420" s="1" t="s">
        <v>803</v>
      </c>
      <c r="C420" s="1" t="s">
        <v>804</v>
      </c>
      <c r="D420" s="2">
        <v>0</v>
      </c>
      <c r="E420" s="1" t="s">
        <v>809</v>
      </c>
      <c r="F420" s="3">
        <v>46233</v>
      </c>
      <c r="G420" s="4">
        <v>900219834</v>
      </c>
      <c r="H420" s="1" t="s">
        <v>810</v>
      </c>
      <c r="I420" s="1" t="s">
        <v>811</v>
      </c>
      <c r="J420" s="1" t="s">
        <v>23</v>
      </c>
      <c r="K420" s="2">
        <v>4159.6499999999996</v>
      </c>
      <c r="L420" s="1" t="s">
        <v>25</v>
      </c>
      <c r="M420" s="2">
        <v>790.35</v>
      </c>
      <c r="N420" s="2" t="s">
        <v>26</v>
      </c>
      <c r="O420" s="2">
        <v>1639540.35</v>
      </c>
      <c r="P420" s="1" t="s">
        <v>27</v>
      </c>
    </row>
    <row r="421" spans="1:16" outlineLevel="2">
      <c r="A421" s="1" t="s">
        <v>802</v>
      </c>
      <c r="B421" s="1" t="s">
        <v>803</v>
      </c>
      <c r="C421" s="1" t="s">
        <v>804</v>
      </c>
      <c r="D421" s="2">
        <v>0</v>
      </c>
      <c r="E421" s="1" t="s">
        <v>812</v>
      </c>
      <c r="F421" s="3">
        <v>46233</v>
      </c>
      <c r="G421" s="4">
        <v>901033735</v>
      </c>
      <c r="H421" s="1" t="s">
        <v>813</v>
      </c>
      <c r="I421" s="1" t="s">
        <v>814</v>
      </c>
      <c r="J421" s="1" t="s">
        <v>23</v>
      </c>
      <c r="K421" s="2">
        <v>10084.030000000001</v>
      </c>
      <c r="L421" s="1" t="s">
        <v>25</v>
      </c>
      <c r="M421" s="2">
        <v>1915.97</v>
      </c>
      <c r="N421" s="2" t="s">
        <v>26</v>
      </c>
      <c r="O421" s="2">
        <v>1641456.32</v>
      </c>
      <c r="P421" s="1" t="s">
        <v>27</v>
      </c>
    </row>
    <row r="422" spans="1:16" outlineLevel="2">
      <c r="A422" s="1" t="s">
        <v>802</v>
      </c>
      <c r="B422" s="1" t="s">
        <v>803</v>
      </c>
      <c r="C422" s="1" t="s">
        <v>804</v>
      </c>
      <c r="D422" s="2">
        <v>0</v>
      </c>
      <c r="E422" s="1" t="s">
        <v>815</v>
      </c>
      <c r="F422" s="3">
        <v>46234</v>
      </c>
      <c r="G422" s="4">
        <v>900921566</v>
      </c>
      <c r="H422" s="1" t="s">
        <v>816</v>
      </c>
      <c r="I422" s="1" t="s">
        <v>817</v>
      </c>
      <c r="J422" s="1" t="s">
        <v>23</v>
      </c>
      <c r="K422" s="2">
        <v>2521.0100000000002</v>
      </c>
      <c r="L422" s="1" t="s">
        <v>25</v>
      </c>
      <c r="M422" s="2">
        <v>478.99</v>
      </c>
      <c r="N422" s="2" t="s">
        <v>26</v>
      </c>
      <c r="O422" s="2">
        <v>1641935.31</v>
      </c>
      <c r="P422" s="1" t="s">
        <v>27</v>
      </c>
    </row>
    <row r="423" spans="1:16" outlineLevel="2">
      <c r="A423" s="1" t="s">
        <v>802</v>
      </c>
      <c r="B423" s="1" t="s">
        <v>803</v>
      </c>
      <c r="C423" s="1" t="s">
        <v>804</v>
      </c>
      <c r="D423" s="2">
        <v>0</v>
      </c>
      <c r="E423" s="1" t="s">
        <v>818</v>
      </c>
      <c r="F423" s="3">
        <v>46234</v>
      </c>
      <c r="G423" s="4">
        <v>1050038514</v>
      </c>
      <c r="H423" s="1" t="s">
        <v>819</v>
      </c>
      <c r="I423" s="1" t="s">
        <v>820</v>
      </c>
      <c r="J423" s="1" t="s">
        <v>23</v>
      </c>
      <c r="K423" s="2">
        <v>33613</v>
      </c>
      <c r="L423" s="1" t="s">
        <v>25</v>
      </c>
      <c r="M423" s="2">
        <v>6386</v>
      </c>
      <c r="N423" s="2" t="s">
        <v>26</v>
      </c>
      <c r="O423" s="2">
        <v>1648321.31</v>
      </c>
      <c r="P423" s="1" t="s">
        <v>27</v>
      </c>
    </row>
    <row r="424" spans="1:16" outlineLevel="2">
      <c r="A424" s="1" t="s">
        <v>802</v>
      </c>
      <c r="B424" s="1" t="s">
        <v>803</v>
      </c>
      <c r="C424" s="1" t="s">
        <v>804</v>
      </c>
      <c r="D424" s="2">
        <v>0</v>
      </c>
      <c r="E424" s="1" t="s">
        <v>821</v>
      </c>
      <c r="F424" s="3">
        <v>46234</v>
      </c>
      <c r="G424" s="4">
        <v>1050038514</v>
      </c>
      <c r="H424" s="1" t="s">
        <v>819</v>
      </c>
      <c r="I424" s="1" t="s">
        <v>822</v>
      </c>
      <c r="J424" s="1" t="s">
        <v>23</v>
      </c>
      <c r="K424" s="2">
        <v>33613</v>
      </c>
      <c r="L424" s="1" t="s">
        <v>25</v>
      </c>
      <c r="M424" s="2">
        <v>6386</v>
      </c>
      <c r="N424" s="2" t="s">
        <v>26</v>
      </c>
      <c r="O424" s="2">
        <v>1654707.31</v>
      </c>
      <c r="P424" s="1" t="s">
        <v>27</v>
      </c>
    </row>
    <row r="425" spans="1:16" outlineLevel="1">
      <c r="A425" s="13" t="s">
        <v>1415</v>
      </c>
      <c r="M425" s="2">
        <f>SUBTOTAL(9,M416:M424)</f>
        <v>1654707.31</v>
      </c>
      <c r="N425" s="2">
        <f>SUBTOTAL(9,N416:N424)</f>
        <v>0</v>
      </c>
    </row>
    <row r="426" spans="1:16" outlineLevel="2">
      <c r="A426" s="1" t="s">
        <v>823</v>
      </c>
      <c r="B426" s="1" t="s">
        <v>824</v>
      </c>
      <c r="C426" s="1" t="s">
        <v>825</v>
      </c>
      <c r="D426" s="2">
        <v>0</v>
      </c>
      <c r="E426" s="1" t="s">
        <v>546</v>
      </c>
      <c r="F426" s="3" t="s">
        <v>19</v>
      </c>
      <c r="G426" s="4">
        <v>0</v>
      </c>
      <c r="H426" s="1" t="s">
        <v>21</v>
      </c>
      <c r="I426" s="1" t="s">
        <v>22</v>
      </c>
      <c r="J426" s="1" t="s">
        <v>23</v>
      </c>
      <c r="K426" s="2" t="s">
        <v>24</v>
      </c>
      <c r="L426" s="1" t="s">
        <v>25</v>
      </c>
      <c r="M426" s="2">
        <v>0</v>
      </c>
      <c r="N426" s="2">
        <v>0</v>
      </c>
      <c r="O426" s="2">
        <v>0</v>
      </c>
      <c r="P426" s="1" t="s">
        <v>27</v>
      </c>
    </row>
    <row r="427" spans="1:16" outlineLevel="1">
      <c r="A427" s="13" t="s">
        <v>1416</v>
      </c>
      <c r="M427" s="2">
        <f>SUBTOTAL(9,M426:M426)</f>
        <v>0</v>
      </c>
      <c r="N427" s="2">
        <f>SUBTOTAL(9,N426:N426)</f>
        <v>0</v>
      </c>
    </row>
    <row r="428" spans="1:16" outlineLevel="2">
      <c r="A428" s="1" t="s">
        <v>826</v>
      </c>
      <c r="B428" s="1" t="s">
        <v>827</v>
      </c>
      <c r="C428" s="1" t="s">
        <v>828</v>
      </c>
      <c r="D428" s="2">
        <v>-7245000</v>
      </c>
      <c r="E428" s="1" t="s">
        <v>829</v>
      </c>
      <c r="F428" s="3">
        <v>46227</v>
      </c>
      <c r="G428" s="4">
        <v>800197268</v>
      </c>
      <c r="H428" s="1" t="s">
        <v>540</v>
      </c>
      <c r="I428" s="1" t="s">
        <v>830</v>
      </c>
      <c r="J428" s="1" t="s">
        <v>703</v>
      </c>
      <c r="K428" s="2" t="s">
        <v>24</v>
      </c>
      <c r="L428" s="1" t="s">
        <v>25</v>
      </c>
      <c r="M428" s="2">
        <v>7245000</v>
      </c>
      <c r="N428" s="2" t="s">
        <v>26</v>
      </c>
      <c r="O428" s="2">
        <v>0</v>
      </c>
      <c r="P428" s="1" t="s">
        <v>27</v>
      </c>
    </row>
    <row r="429" spans="1:16" outlineLevel="1">
      <c r="A429" s="13" t="s">
        <v>1417</v>
      </c>
      <c r="M429" s="2">
        <f>SUBTOTAL(9,M428:M428)</f>
        <v>7245000</v>
      </c>
      <c r="N429" s="2">
        <f>SUBTOTAL(9,N428:N428)</f>
        <v>0</v>
      </c>
    </row>
    <row r="430" spans="1:16" outlineLevel="2">
      <c r="A430" s="1" t="s">
        <v>831</v>
      </c>
      <c r="B430" s="1" t="s">
        <v>832</v>
      </c>
      <c r="C430" s="1" t="s">
        <v>833</v>
      </c>
      <c r="D430" s="2">
        <v>-38671654</v>
      </c>
      <c r="E430" s="1" t="s">
        <v>834</v>
      </c>
      <c r="F430" s="3">
        <v>46204</v>
      </c>
      <c r="G430" s="4">
        <v>901260460</v>
      </c>
      <c r="H430" s="1" t="s">
        <v>835</v>
      </c>
      <c r="I430" s="1" t="s">
        <v>836</v>
      </c>
      <c r="J430" s="1" t="s">
        <v>23</v>
      </c>
      <c r="K430" s="2" t="s">
        <v>24</v>
      </c>
      <c r="L430" s="1" t="s">
        <v>25</v>
      </c>
      <c r="M430" s="2">
        <v>3919732</v>
      </c>
      <c r="N430" s="2" t="s">
        <v>26</v>
      </c>
      <c r="O430" s="2">
        <v>-34751922</v>
      </c>
      <c r="P430" s="1" t="s">
        <v>27</v>
      </c>
    </row>
    <row r="431" spans="1:16" outlineLevel="2">
      <c r="A431" s="1" t="s">
        <v>831</v>
      </c>
      <c r="B431" s="1" t="s">
        <v>832</v>
      </c>
      <c r="C431" s="1" t="s">
        <v>833</v>
      </c>
      <c r="D431" s="2">
        <v>-38671654</v>
      </c>
      <c r="E431" s="1" t="s">
        <v>837</v>
      </c>
      <c r="F431" s="3">
        <v>46204</v>
      </c>
      <c r="G431" s="4">
        <v>901260460</v>
      </c>
      <c r="H431" s="1" t="s">
        <v>835</v>
      </c>
      <c r="I431" s="1" t="s">
        <v>838</v>
      </c>
      <c r="J431" s="1" t="s">
        <v>23</v>
      </c>
      <c r="K431" s="2" t="s">
        <v>24</v>
      </c>
      <c r="L431" s="1" t="s">
        <v>25</v>
      </c>
      <c r="M431" s="2">
        <v>21013823</v>
      </c>
      <c r="N431" s="2" t="s">
        <v>26</v>
      </c>
      <c r="O431" s="2">
        <v>-13738099</v>
      </c>
      <c r="P431" s="1" t="s">
        <v>27</v>
      </c>
    </row>
    <row r="432" spans="1:16" outlineLevel="2">
      <c r="A432" s="1" t="s">
        <v>831</v>
      </c>
      <c r="B432" s="1" t="s">
        <v>832</v>
      </c>
      <c r="C432" s="1" t="s">
        <v>833</v>
      </c>
      <c r="D432" s="2">
        <v>-38671654</v>
      </c>
      <c r="E432" s="1" t="s">
        <v>839</v>
      </c>
      <c r="F432" s="3">
        <v>46210</v>
      </c>
      <c r="G432" s="4">
        <v>1143143010</v>
      </c>
      <c r="H432" s="1" t="s">
        <v>840</v>
      </c>
      <c r="I432" s="1" t="s">
        <v>841</v>
      </c>
      <c r="J432" s="1" t="s">
        <v>23</v>
      </c>
      <c r="K432" s="2" t="s">
        <v>24</v>
      </c>
      <c r="L432" s="1" t="s">
        <v>25</v>
      </c>
      <c r="M432" s="2">
        <v>2142059</v>
      </c>
      <c r="N432" s="2" t="s">
        <v>26</v>
      </c>
      <c r="O432" s="2">
        <v>-11596040</v>
      </c>
      <c r="P432" s="1" t="s">
        <v>27</v>
      </c>
    </row>
    <row r="433" spans="1:16" outlineLevel="2">
      <c r="A433" s="1" t="s">
        <v>831</v>
      </c>
      <c r="B433" s="1" t="s">
        <v>832</v>
      </c>
      <c r="C433" s="1" t="s">
        <v>833</v>
      </c>
      <c r="D433" s="2">
        <v>-38671654</v>
      </c>
      <c r="E433" s="1" t="s">
        <v>842</v>
      </c>
      <c r="F433" s="3">
        <v>46231</v>
      </c>
      <c r="G433" s="4">
        <v>1042436824</v>
      </c>
      <c r="H433" s="1" t="s">
        <v>476</v>
      </c>
      <c r="I433" s="1" t="s">
        <v>843</v>
      </c>
      <c r="J433" s="1" t="s">
        <v>23</v>
      </c>
      <c r="K433" s="2" t="s">
        <v>24</v>
      </c>
      <c r="L433" s="1" t="s">
        <v>25</v>
      </c>
      <c r="M433" s="2">
        <v>3145227</v>
      </c>
      <c r="N433" s="2" t="s">
        <v>26</v>
      </c>
      <c r="O433" s="2">
        <v>-8450813</v>
      </c>
      <c r="P433" s="1" t="s">
        <v>27</v>
      </c>
    </row>
    <row r="434" spans="1:16" outlineLevel="2">
      <c r="A434" s="1" t="s">
        <v>831</v>
      </c>
      <c r="B434" s="1" t="s">
        <v>832</v>
      </c>
      <c r="C434" s="1" t="s">
        <v>833</v>
      </c>
      <c r="D434" s="2">
        <v>-38671654</v>
      </c>
      <c r="E434" s="1" t="s">
        <v>844</v>
      </c>
      <c r="F434" s="3">
        <v>46231</v>
      </c>
      <c r="G434" s="4">
        <v>1143257677</v>
      </c>
      <c r="H434" s="1" t="s">
        <v>499</v>
      </c>
      <c r="I434" s="1" t="s">
        <v>843</v>
      </c>
      <c r="J434" s="1" t="s">
        <v>23</v>
      </c>
      <c r="K434" s="2" t="s">
        <v>24</v>
      </c>
      <c r="L434" s="1" t="s">
        <v>25</v>
      </c>
      <c r="M434" s="2">
        <v>2483739</v>
      </c>
      <c r="N434" s="2" t="s">
        <v>26</v>
      </c>
      <c r="O434" s="2">
        <v>-5967074</v>
      </c>
      <c r="P434" s="1" t="s">
        <v>27</v>
      </c>
    </row>
    <row r="435" spans="1:16" outlineLevel="2">
      <c r="A435" s="1" t="s">
        <v>831</v>
      </c>
      <c r="B435" s="1" t="s">
        <v>832</v>
      </c>
      <c r="C435" s="1" t="s">
        <v>833</v>
      </c>
      <c r="D435" s="2">
        <v>-38671654</v>
      </c>
      <c r="E435" s="1" t="s">
        <v>845</v>
      </c>
      <c r="F435" s="3">
        <v>46231</v>
      </c>
      <c r="G435" s="4">
        <v>72171042</v>
      </c>
      <c r="H435" s="1" t="s">
        <v>846</v>
      </c>
      <c r="I435" s="1" t="s">
        <v>843</v>
      </c>
      <c r="J435" s="1" t="s">
        <v>23</v>
      </c>
      <c r="K435" s="2" t="s">
        <v>24</v>
      </c>
      <c r="L435" s="1" t="s">
        <v>25</v>
      </c>
      <c r="M435" s="2">
        <v>5529384</v>
      </c>
      <c r="N435" s="2" t="s">
        <v>26</v>
      </c>
      <c r="O435" s="2">
        <v>-437690</v>
      </c>
      <c r="P435" s="1" t="s">
        <v>27</v>
      </c>
    </row>
    <row r="436" spans="1:16" outlineLevel="2">
      <c r="A436" s="1" t="s">
        <v>831</v>
      </c>
      <c r="B436" s="1" t="s">
        <v>832</v>
      </c>
      <c r="C436" s="1" t="s">
        <v>833</v>
      </c>
      <c r="D436" s="2">
        <v>-38671654</v>
      </c>
      <c r="E436" s="1" t="s">
        <v>847</v>
      </c>
      <c r="F436" s="3">
        <v>46231</v>
      </c>
      <c r="G436" s="4">
        <v>72257318</v>
      </c>
      <c r="H436" s="1" t="s">
        <v>204</v>
      </c>
      <c r="I436" s="1" t="s">
        <v>843</v>
      </c>
      <c r="J436" s="1" t="s">
        <v>23</v>
      </c>
      <c r="K436" s="2" t="s">
        <v>24</v>
      </c>
      <c r="L436" s="1" t="s">
        <v>25</v>
      </c>
      <c r="M436" s="2">
        <v>7156080</v>
      </c>
      <c r="N436" s="2" t="s">
        <v>26</v>
      </c>
      <c r="O436" s="2">
        <v>6718390</v>
      </c>
      <c r="P436" s="1" t="s">
        <v>27</v>
      </c>
    </row>
    <row r="437" spans="1:16" outlineLevel="2">
      <c r="A437" s="1" t="s">
        <v>831</v>
      </c>
      <c r="B437" s="1" t="s">
        <v>832</v>
      </c>
      <c r="C437" s="1" t="s">
        <v>833</v>
      </c>
      <c r="D437" s="2">
        <v>-38671654</v>
      </c>
      <c r="E437" s="1" t="s">
        <v>848</v>
      </c>
      <c r="F437" s="3">
        <v>46231</v>
      </c>
      <c r="G437" s="4">
        <v>85453175</v>
      </c>
      <c r="H437" s="1" t="s">
        <v>849</v>
      </c>
      <c r="I437" s="1" t="s">
        <v>843</v>
      </c>
      <c r="J437" s="1" t="s">
        <v>23</v>
      </c>
      <c r="K437" s="2" t="s">
        <v>24</v>
      </c>
      <c r="L437" s="1" t="s">
        <v>25</v>
      </c>
      <c r="M437" s="2">
        <v>3029946</v>
      </c>
      <c r="N437" s="2" t="s">
        <v>26</v>
      </c>
      <c r="O437" s="2">
        <v>9748336</v>
      </c>
      <c r="P437" s="1" t="s">
        <v>27</v>
      </c>
    </row>
    <row r="438" spans="1:16" outlineLevel="2">
      <c r="A438" s="1" t="s">
        <v>831</v>
      </c>
      <c r="B438" s="1" t="s">
        <v>832</v>
      </c>
      <c r="C438" s="1" t="s">
        <v>833</v>
      </c>
      <c r="D438" s="2">
        <v>-38671654</v>
      </c>
      <c r="E438" s="1" t="s">
        <v>850</v>
      </c>
      <c r="F438" s="3">
        <v>46231</v>
      </c>
      <c r="G438" s="4">
        <v>8569767</v>
      </c>
      <c r="H438" s="1" t="s">
        <v>851</v>
      </c>
      <c r="I438" s="1" t="s">
        <v>843</v>
      </c>
      <c r="J438" s="1" t="s">
        <v>23</v>
      </c>
      <c r="K438" s="2" t="s">
        <v>24</v>
      </c>
      <c r="L438" s="1" t="s">
        <v>25</v>
      </c>
      <c r="M438" s="2">
        <v>2860904</v>
      </c>
      <c r="N438" s="2" t="s">
        <v>26</v>
      </c>
      <c r="O438" s="2">
        <v>12609240</v>
      </c>
      <c r="P438" s="1" t="s">
        <v>27</v>
      </c>
    </row>
    <row r="439" spans="1:16" outlineLevel="2">
      <c r="A439" s="1" t="s">
        <v>831</v>
      </c>
      <c r="B439" s="1" t="s">
        <v>832</v>
      </c>
      <c r="C439" s="1" t="s">
        <v>833</v>
      </c>
      <c r="D439" s="2">
        <v>-38671654</v>
      </c>
      <c r="E439" s="1" t="s">
        <v>852</v>
      </c>
      <c r="F439" s="3">
        <v>46231</v>
      </c>
      <c r="G439" s="4">
        <v>901260460</v>
      </c>
      <c r="H439" s="1" t="s">
        <v>835</v>
      </c>
      <c r="I439" s="1" t="s">
        <v>32</v>
      </c>
      <c r="J439" s="1" t="s">
        <v>23</v>
      </c>
      <c r="K439" s="2" t="s">
        <v>24</v>
      </c>
      <c r="L439" s="1" t="s">
        <v>25</v>
      </c>
      <c r="M439" s="2" t="s">
        <v>26</v>
      </c>
      <c r="N439" s="2">
        <v>24205280</v>
      </c>
      <c r="O439" s="2">
        <v>-11596040</v>
      </c>
      <c r="P439" s="1" t="s">
        <v>27</v>
      </c>
    </row>
    <row r="440" spans="1:16" outlineLevel="2">
      <c r="A440" s="1" t="s">
        <v>831</v>
      </c>
      <c r="B440" s="1" t="s">
        <v>832</v>
      </c>
      <c r="C440" s="1" t="s">
        <v>833</v>
      </c>
      <c r="D440" s="2">
        <v>-38671654</v>
      </c>
      <c r="E440" s="1" t="s">
        <v>853</v>
      </c>
      <c r="F440" s="3">
        <v>46233</v>
      </c>
      <c r="G440" s="4">
        <v>901260460</v>
      </c>
      <c r="H440" s="1" t="s">
        <v>835</v>
      </c>
      <c r="I440" s="1" t="s">
        <v>854</v>
      </c>
      <c r="J440" s="1" t="s">
        <v>23</v>
      </c>
      <c r="K440" s="2" t="s">
        <v>24</v>
      </c>
      <c r="L440" s="1" t="s">
        <v>25</v>
      </c>
      <c r="M440" s="2">
        <v>24205280</v>
      </c>
      <c r="N440" s="2" t="s">
        <v>26</v>
      </c>
      <c r="O440" s="2">
        <v>12609240</v>
      </c>
      <c r="P440" s="1" t="s">
        <v>27</v>
      </c>
    </row>
    <row r="441" spans="1:16" outlineLevel="1">
      <c r="A441" s="13" t="s">
        <v>1418</v>
      </c>
      <c r="M441" s="2">
        <f>SUBTOTAL(9,M430:M440)</f>
        <v>75486174</v>
      </c>
      <c r="N441" s="2">
        <f>SUBTOTAL(9,N430:N440)</f>
        <v>24205280</v>
      </c>
    </row>
    <row r="442" spans="1:16" outlineLevel="2">
      <c r="A442" s="1" t="s">
        <v>855</v>
      </c>
      <c r="B442" s="1" t="s">
        <v>856</v>
      </c>
      <c r="C442" s="1" t="s">
        <v>857</v>
      </c>
      <c r="D442" s="2">
        <v>1000000</v>
      </c>
      <c r="E442" s="1" t="s">
        <v>18</v>
      </c>
      <c r="F442" s="3" t="s">
        <v>19</v>
      </c>
      <c r="G442" s="4" t="s">
        <v>20</v>
      </c>
      <c r="H442" s="1" t="s">
        <v>21</v>
      </c>
      <c r="I442" s="1" t="s">
        <v>22</v>
      </c>
      <c r="J442" s="1" t="s">
        <v>23</v>
      </c>
      <c r="K442" s="2" t="s">
        <v>24</v>
      </c>
      <c r="L442" s="1" t="s">
        <v>25</v>
      </c>
      <c r="M442" s="2" t="s">
        <v>26</v>
      </c>
      <c r="N442" s="2" t="s">
        <v>26</v>
      </c>
      <c r="O442" s="2">
        <v>1000000</v>
      </c>
      <c r="P442" s="1" t="s">
        <v>27</v>
      </c>
    </row>
    <row r="443" spans="1:16" outlineLevel="1">
      <c r="A443" s="13" t="s">
        <v>1419</v>
      </c>
      <c r="M443" s="2">
        <f>SUBTOTAL(9,M442:M442)</f>
        <v>0</v>
      </c>
      <c r="N443" s="2">
        <f>SUBTOTAL(9,N442:N442)</f>
        <v>0</v>
      </c>
    </row>
    <row r="444" spans="1:16" outlineLevel="2">
      <c r="A444" s="1" t="s">
        <v>858</v>
      </c>
      <c r="B444" s="1" t="s">
        <v>859</v>
      </c>
      <c r="C444" s="1" t="s">
        <v>860</v>
      </c>
      <c r="D444" s="2">
        <v>60000</v>
      </c>
      <c r="E444" s="1" t="s">
        <v>18</v>
      </c>
      <c r="F444" s="3" t="s">
        <v>19</v>
      </c>
      <c r="G444" s="4" t="s">
        <v>20</v>
      </c>
      <c r="H444" s="1" t="s">
        <v>21</v>
      </c>
      <c r="I444" s="1" t="s">
        <v>22</v>
      </c>
      <c r="J444" s="1" t="s">
        <v>23</v>
      </c>
      <c r="K444" s="2" t="s">
        <v>24</v>
      </c>
      <c r="L444" s="1" t="s">
        <v>25</v>
      </c>
      <c r="M444" s="2" t="s">
        <v>26</v>
      </c>
      <c r="N444" s="2" t="s">
        <v>26</v>
      </c>
      <c r="O444" s="2">
        <v>60000</v>
      </c>
      <c r="P444" s="1" t="s">
        <v>27</v>
      </c>
    </row>
    <row r="445" spans="1:16" outlineLevel="1">
      <c r="A445" s="13" t="s">
        <v>1420</v>
      </c>
      <c r="M445" s="2">
        <f>SUBTOTAL(9,M444:M444)</f>
        <v>0</v>
      </c>
      <c r="N445" s="2">
        <f>SUBTOTAL(9,N444:N444)</f>
        <v>0</v>
      </c>
    </row>
    <row r="446" spans="1:16" outlineLevel="2">
      <c r="A446" s="1" t="s">
        <v>861</v>
      </c>
      <c r="B446" s="1" t="s">
        <v>862</v>
      </c>
      <c r="C446" s="1" t="s">
        <v>863</v>
      </c>
      <c r="D446" s="2">
        <v>0</v>
      </c>
      <c r="E446" s="1" t="s">
        <v>546</v>
      </c>
      <c r="F446" s="3" t="s">
        <v>19</v>
      </c>
      <c r="G446" s="4">
        <v>0</v>
      </c>
      <c r="H446" s="1" t="s">
        <v>21</v>
      </c>
      <c r="I446" s="1" t="s">
        <v>22</v>
      </c>
      <c r="J446" s="1" t="s">
        <v>23</v>
      </c>
      <c r="K446" s="2" t="s">
        <v>24</v>
      </c>
      <c r="L446" s="1" t="s">
        <v>25</v>
      </c>
      <c r="M446" s="2">
        <v>0</v>
      </c>
      <c r="N446" s="2">
        <v>0</v>
      </c>
      <c r="O446" s="2">
        <v>0</v>
      </c>
      <c r="P446" s="1" t="s">
        <v>27</v>
      </c>
    </row>
    <row r="447" spans="1:16" outlineLevel="1">
      <c r="A447" s="13" t="s">
        <v>1421</v>
      </c>
      <c r="M447" s="2">
        <f>SUBTOTAL(9,M446:M446)</f>
        <v>0</v>
      </c>
      <c r="N447" s="2">
        <f>SUBTOTAL(9,N446:N446)</f>
        <v>0</v>
      </c>
    </row>
    <row r="448" spans="1:16" outlineLevel="2">
      <c r="A448" s="1" t="s">
        <v>864</v>
      </c>
      <c r="B448" s="1" t="s">
        <v>865</v>
      </c>
      <c r="C448" s="1" t="s">
        <v>866</v>
      </c>
      <c r="D448" s="2">
        <v>-3943292</v>
      </c>
      <c r="E448" s="1" t="s">
        <v>18</v>
      </c>
      <c r="F448" s="3" t="s">
        <v>19</v>
      </c>
      <c r="G448" s="4" t="s">
        <v>20</v>
      </c>
      <c r="H448" s="1" t="s">
        <v>21</v>
      </c>
      <c r="I448" s="1" t="s">
        <v>22</v>
      </c>
      <c r="J448" s="1" t="s">
        <v>23</v>
      </c>
      <c r="K448" s="2" t="s">
        <v>24</v>
      </c>
      <c r="L448" s="1" t="s">
        <v>25</v>
      </c>
      <c r="M448" s="2" t="s">
        <v>26</v>
      </c>
      <c r="N448" s="2" t="s">
        <v>26</v>
      </c>
      <c r="O448" s="2">
        <v>-3943292</v>
      </c>
      <c r="P448" s="1" t="s">
        <v>27</v>
      </c>
    </row>
    <row r="449" spans="1:16" outlineLevel="1">
      <c r="A449" s="13" t="s">
        <v>1422</v>
      </c>
      <c r="M449" s="2">
        <f>SUBTOTAL(9,M448:M448)</f>
        <v>0</v>
      </c>
      <c r="N449" s="2">
        <f>SUBTOTAL(9,N448:N448)</f>
        <v>0</v>
      </c>
    </row>
    <row r="450" spans="1:16" outlineLevel="2">
      <c r="A450" s="1" t="s">
        <v>867</v>
      </c>
      <c r="B450" s="1" t="s">
        <v>868</v>
      </c>
      <c r="C450" s="1" t="s">
        <v>869</v>
      </c>
      <c r="D450" s="2">
        <v>24513811</v>
      </c>
      <c r="E450" s="1" t="s">
        <v>18</v>
      </c>
      <c r="F450" s="3" t="s">
        <v>19</v>
      </c>
      <c r="G450" s="4" t="s">
        <v>20</v>
      </c>
      <c r="H450" s="1" t="s">
        <v>21</v>
      </c>
      <c r="I450" s="1" t="s">
        <v>22</v>
      </c>
      <c r="J450" s="1" t="s">
        <v>23</v>
      </c>
      <c r="K450" s="2" t="s">
        <v>24</v>
      </c>
      <c r="L450" s="1" t="s">
        <v>25</v>
      </c>
      <c r="M450" s="2" t="s">
        <v>26</v>
      </c>
      <c r="N450" s="2" t="s">
        <v>26</v>
      </c>
      <c r="O450" s="2">
        <v>24513811</v>
      </c>
      <c r="P450" s="1" t="s">
        <v>27</v>
      </c>
    </row>
    <row r="451" spans="1:16" outlineLevel="1">
      <c r="A451" s="13" t="s">
        <v>1423</v>
      </c>
      <c r="M451" s="2">
        <f>SUBTOTAL(9,M450:M450)</f>
        <v>0</v>
      </c>
      <c r="N451" s="2">
        <f>SUBTOTAL(9,N450:N450)</f>
        <v>0</v>
      </c>
    </row>
    <row r="452" spans="1:16" outlineLevel="2">
      <c r="A452" s="1" t="s">
        <v>870</v>
      </c>
      <c r="B452" s="1" t="s">
        <v>871</v>
      </c>
      <c r="C452" s="1" t="s">
        <v>872</v>
      </c>
      <c r="D452" s="2">
        <v>-12948641</v>
      </c>
      <c r="E452" s="1" t="s">
        <v>18</v>
      </c>
      <c r="F452" s="3" t="s">
        <v>19</v>
      </c>
      <c r="G452" s="4" t="s">
        <v>20</v>
      </c>
      <c r="H452" s="1" t="s">
        <v>21</v>
      </c>
      <c r="I452" s="1" t="s">
        <v>22</v>
      </c>
      <c r="J452" s="1" t="s">
        <v>23</v>
      </c>
      <c r="K452" s="2" t="s">
        <v>24</v>
      </c>
      <c r="L452" s="1" t="s">
        <v>25</v>
      </c>
      <c r="M452" s="2" t="s">
        <v>26</v>
      </c>
      <c r="N452" s="2" t="s">
        <v>26</v>
      </c>
      <c r="O452" s="2">
        <v>-12948641</v>
      </c>
      <c r="P452" s="1" t="s">
        <v>27</v>
      </c>
    </row>
    <row r="453" spans="1:16" outlineLevel="1">
      <c r="A453" s="13" t="s">
        <v>1424</v>
      </c>
      <c r="M453" s="2">
        <f>SUBTOTAL(9,M452:M452)</f>
        <v>0</v>
      </c>
      <c r="N453" s="2">
        <f>SUBTOTAL(9,N452:N452)</f>
        <v>0</v>
      </c>
    </row>
    <row r="454" spans="1:16" outlineLevel="2">
      <c r="A454" s="1" t="s">
        <v>873</v>
      </c>
      <c r="B454" s="1" t="s">
        <v>874</v>
      </c>
      <c r="C454" s="1" t="s">
        <v>863</v>
      </c>
      <c r="D454" s="2">
        <v>-1490030</v>
      </c>
      <c r="E454" s="1" t="s">
        <v>18</v>
      </c>
      <c r="F454" s="3" t="s">
        <v>19</v>
      </c>
      <c r="G454" s="4" t="s">
        <v>20</v>
      </c>
      <c r="H454" s="1" t="s">
        <v>21</v>
      </c>
      <c r="I454" s="1" t="s">
        <v>22</v>
      </c>
      <c r="J454" s="1" t="s">
        <v>23</v>
      </c>
      <c r="K454" s="2" t="s">
        <v>24</v>
      </c>
      <c r="L454" s="1" t="s">
        <v>25</v>
      </c>
      <c r="M454" s="2" t="s">
        <v>26</v>
      </c>
      <c r="N454" s="2" t="s">
        <v>26</v>
      </c>
      <c r="O454" s="2">
        <v>-1490030</v>
      </c>
      <c r="P454" s="1" t="s">
        <v>27</v>
      </c>
    </row>
    <row r="455" spans="1:16" outlineLevel="1">
      <c r="A455" s="13" t="s">
        <v>1425</v>
      </c>
      <c r="M455" s="2">
        <f>SUBTOTAL(9,M454:M454)</f>
        <v>0</v>
      </c>
      <c r="N455" s="2">
        <f>SUBTOTAL(9,N454:N454)</f>
        <v>0</v>
      </c>
    </row>
    <row r="456" spans="1:16" outlineLevel="2">
      <c r="A456" s="1" t="s">
        <v>875</v>
      </c>
      <c r="B456" s="1" t="s">
        <v>876</v>
      </c>
      <c r="C456" s="1" t="s">
        <v>877</v>
      </c>
      <c r="D456" s="2">
        <v>-5343617</v>
      </c>
      <c r="E456" s="1" t="s">
        <v>18</v>
      </c>
      <c r="F456" s="3" t="s">
        <v>19</v>
      </c>
      <c r="G456" s="4" t="s">
        <v>20</v>
      </c>
      <c r="H456" s="1" t="s">
        <v>21</v>
      </c>
      <c r="I456" s="1" t="s">
        <v>22</v>
      </c>
      <c r="J456" s="1" t="s">
        <v>23</v>
      </c>
      <c r="K456" s="2" t="s">
        <v>24</v>
      </c>
      <c r="L456" s="1" t="s">
        <v>25</v>
      </c>
      <c r="M456" s="2" t="s">
        <v>26</v>
      </c>
      <c r="N456" s="2" t="s">
        <v>26</v>
      </c>
      <c r="O456" s="2">
        <v>-5343617</v>
      </c>
      <c r="P456" s="1" t="s">
        <v>27</v>
      </c>
    </row>
    <row r="457" spans="1:16" outlineLevel="1">
      <c r="A457" s="13" t="s">
        <v>1426</v>
      </c>
      <c r="M457" s="2">
        <f>SUBTOTAL(9,M456:M456)</f>
        <v>0</v>
      </c>
      <c r="N457" s="2">
        <f>SUBTOTAL(9,N456:N456)</f>
        <v>0</v>
      </c>
    </row>
    <row r="458" spans="1:16" outlineLevel="2">
      <c r="A458" s="1" t="s">
        <v>878</v>
      </c>
      <c r="B458" s="1" t="s">
        <v>879</v>
      </c>
      <c r="C458" s="1" t="s">
        <v>880</v>
      </c>
      <c r="D458" s="2">
        <v>-11875269</v>
      </c>
      <c r="E458" s="1" t="s">
        <v>18</v>
      </c>
      <c r="F458" s="3" t="s">
        <v>19</v>
      </c>
      <c r="G458" s="4" t="s">
        <v>20</v>
      </c>
      <c r="H458" s="1" t="s">
        <v>21</v>
      </c>
      <c r="I458" s="1" t="s">
        <v>22</v>
      </c>
      <c r="J458" s="1" t="s">
        <v>23</v>
      </c>
      <c r="K458" s="2" t="s">
        <v>24</v>
      </c>
      <c r="L458" s="1" t="s">
        <v>25</v>
      </c>
      <c r="M458" s="2" t="s">
        <v>26</v>
      </c>
      <c r="N458" s="2" t="s">
        <v>26</v>
      </c>
      <c r="O458" s="2">
        <v>-11875269</v>
      </c>
      <c r="P458" s="1" t="s">
        <v>27</v>
      </c>
    </row>
    <row r="459" spans="1:16" outlineLevel="1">
      <c r="A459" s="13" t="s">
        <v>1427</v>
      </c>
      <c r="M459" s="2">
        <f>SUBTOTAL(9,M458:M458)</f>
        <v>0</v>
      </c>
      <c r="N459" s="2">
        <f>SUBTOTAL(9,N458:N458)</f>
        <v>0</v>
      </c>
    </row>
    <row r="460" spans="1:16" outlineLevel="2">
      <c r="A460" s="1" t="s">
        <v>881</v>
      </c>
      <c r="B460" s="1" t="s">
        <v>882</v>
      </c>
      <c r="C460" s="1" t="s">
        <v>883</v>
      </c>
      <c r="D460" s="2">
        <v>-222873180.53</v>
      </c>
      <c r="E460" s="1" t="s">
        <v>884</v>
      </c>
      <c r="F460" s="3">
        <v>46204</v>
      </c>
      <c r="G460" s="4">
        <v>800148462</v>
      </c>
      <c r="H460" s="1" t="s">
        <v>115</v>
      </c>
      <c r="I460" s="1" t="s">
        <v>885</v>
      </c>
      <c r="J460" s="1" t="s">
        <v>886</v>
      </c>
      <c r="K460" s="2" t="s">
        <v>24</v>
      </c>
      <c r="L460" s="1" t="s">
        <v>25</v>
      </c>
      <c r="M460" s="2" t="s">
        <v>26</v>
      </c>
      <c r="N460" s="2">
        <v>20000000</v>
      </c>
      <c r="O460" s="2">
        <v>-242873180.53</v>
      </c>
      <c r="P460" s="1" t="s">
        <v>27</v>
      </c>
    </row>
    <row r="461" spans="1:16" outlineLevel="2">
      <c r="A461" s="1" t="s">
        <v>881</v>
      </c>
      <c r="B461" s="1" t="s">
        <v>882</v>
      </c>
      <c r="C461" s="1" t="s">
        <v>883</v>
      </c>
      <c r="D461" s="2">
        <v>-222873180.53</v>
      </c>
      <c r="E461" s="1" t="s">
        <v>887</v>
      </c>
      <c r="F461" s="3">
        <v>46204</v>
      </c>
      <c r="G461" s="4">
        <v>900333493</v>
      </c>
      <c r="H461" s="1" t="s">
        <v>888</v>
      </c>
      <c r="I461" s="1" t="s">
        <v>889</v>
      </c>
      <c r="J461" s="1" t="s">
        <v>890</v>
      </c>
      <c r="K461" s="2" t="s">
        <v>24</v>
      </c>
      <c r="L461" s="1" t="s">
        <v>25</v>
      </c>
      <c r="M461" s="2" t="s">
        <v>26</v>
      </c>
      <c r="N461" s="2">
        <v>10000000</v>
      </c>
      <c r="O461" s="2">
        <v>-252873180.53</v>
      </c>
      <c r="P461" s="1" t="s">
        <v>27</v>
      </c>
    </row>
    <row r="462" spans="1:16" outlineLevel="2">
      <c r="A462" s="1" t="s">
        <v>881</v>
      </c>
      <c r="B462" s="1" t="s">
        <v>882</v>
      </c>
      <c r="C462" s="1" t="s">
        <v>883</v>
      </c>
      <c r="D462" s="2">
        <v>-222873180.53</v>
      </c>
      <c r="E462" s="1" t="s">
        <v>891</v>
      </c>
      <c r="F462" s="3">
        <v>46204</v>
      </c>
      <c r="G462" s="4">
        <v>890106697</v>
      </c>
      <c r="H462" s="1" t="s">
        <v>132</v>
      </c>
      <c r="I462" s="1" t="s">
        <v>892</v>
      </c>
      <c r="J462" s="1" t="s">
        <v>893</v>
      </c>
      <c r="K462" s="2" t="s">
        <v>24</v>
      </c>
      <c r="L462" s="1" t="s">
        <v>25</v>
      </c>
      <c r="M462" s="2" t="s">
        <v>26</v>
      </c>
      <c r="N462" s="2">
        <v>20000000</v>
      </c>
      <c r="O462" s="2">
        <v>-272873180.52999997</v>
      </c>
      <c r="P462" s="1" t="s">
        <v>27</v>
      </c>
    </row>
    <row r="463" spans="1:16" outlineLevel="2">
      <c r="A463" s="1" t="s">
        <v>881</v>
      </c>
      <c r="B463" s="1" t="s">
        <v>882</v>
      </c>
      <c r="C463" s="1" t="s">
        <v>883</v>
      </c>
      <c r="D463" s="2">
        <v>-222873180.53</v>
      </c>
      <c r="E463" s="1" t="s">
        <v>894</v>
      </c>
      <c r="F463" s="3">
        <v>46204</v>
      </c>
      <c r="G463" s="4">
        <v>800148462</v>
      </c>
      <c r="H463" s="1" t="s">
        <v>115</v>
      </c>
      <c r="I463" s="1" t="s">
        <v>122</v>
      </c>
      <c r="J463" s="1" t="s">
        <v>895</v>
      </c>
      <c r="K463" s="2" t="s">
        <v>24</v>
      </c>
      <c r="L463" s="1" t="s">
        <v>25</v>
      </c>
      <c r="M463" s="2" t="s">
        <v>26</v>
      </c>
      <c r="N463" s="2">
        <v>6354997.1900000004</v>
      </c>
      <c r="O463" s="2">
        <v>-279228177.72000003</v>
      </c>
      <c r="P463" s="1" t="s">
        <v>27</v>
      </c>
    </row>
    <row r="464" spans="1:16" outlineLevel="2">
      <c r="A464" s="1" t="s">
        <v>881</v>
      </c>
      <c r="B464" s="1" t="s">
        <v>882</v>
      </c>
      <c r="C464" s="1" t="s">
        <v>883</v>
      </c>
      <c r="D464" s="2">
        <v>-222873180.53</v>
      </c>
      <c r="E464" s="1" t="s">
        <v>896</v>
      </c>
      <c r="F464" s="3">
        <v>46204</v>
      </c>
      <c r="G464" s="4">
        <v>800148462</v>
      </c>
      <c r="H464" s="1" t="s">
        <v>115</v>
      </c>
      <c r="I464" s="1" t="s">
        <v>122</v>
      </c>
      <c r="J464" s="1" t="s">
        <v>897</v>
      </c>
      <c r="K464" s="2" t="s">
        <v>24</v>
      </c>
      <c r="L464" s="1" t="s">
        <v>25</v>
      </c>
      <c r="M464" s="2" t="s">
        <v>26</v>
      </c>
      <c r="N464" s="2">
        <v>1363160.4</v>
      </c>
      <c r="O464" s="2">
        <v>-280591338.12</v>
      </c>
      <c r="P464" s="1" t="s">
        <v>27</v>
      </c>
    </row>
    <row r="465" spans="1:16" outlineLevel="2">
      <c r="A465" s="1" t="s">
        <v>881</v>
      </c>
      <c r="B465" s="1" t="s">
        <v>882</v>
      </c>
      <c r="C465" s="1" t="s">
        <v>883</v>
      </c>
      <c r="D465" s="2">
        <v>-222873180.53</v>
      </c>
      <c r="E465" s="1" t="s">
        <v>898</v>
      </c>
      <c r="F465" s="3">
        <v>46220</v>
      </c>
      <c r="G465" s="4">
        <v>901260460</v>
      </c>
      <c r="H465" s="1" t="s">
        <v>835</v>
      </c>
      <c r="I465" s="1" t="s">
        <v>899</v>
      </c>
      <c r="J465" s="1" t="s">
        <v>900</v>
      </c>
      <c r="K465" s="2" t="s">
        <v>24</v>
      </c>
      <c r="L465" s="1" t="s">
        <v>25</v>
      </c>
      <c r="M465" s="2" t="s">
        <v>26</v>
      </c>
      <c r="N465" s="2">
        <v>10000000</v>
      </c>
      <c r="O465" s="2">
        <v>-290591338.12</v>
      </c>
      <c r="P465" s="1" t="s">
        <v>27</v>
      </c>
    </row>
    <row r="466" spans="1:16" outlineLevel="2">
      <c r="A466" s="1" t="s">
        <v>881</v>
      </c>
      <c r="B466" s="1" t="s">
        <v>882</v>
      </c>
      <c r="C466" s="1" t="s">
        <v>883</v>
      </c>
      <c r="D466" s="2">
        <v>-222873180.53</v>
      </c>
      <c r="E466" s="1" t="s">
        <v>901</v>
      </c>
      <c r="F466" s="3">
        <v>46227</v>
      </c>
      <c r="G466" s="4">
        <v>890106697</v>
      </c>
      <c r="H466" s="1" t="s">
        <v>132</v>
      </c>
      <c r="I466" s="1" t="s">
        <v>902</v>
      </c>
      <c r="J466" s="1" t="s">
        <v>893</v>
      </c>
      <c r="K466" s="2" t="s">
        <v>24</v>
      </c>
      <c r="L466" s="1" t="s">
        <v>25</v>
      </c>
      <c r="M466" s="2">
        <v>6639565.8799999999</v>
      </c>
      <c r="N466" s="2" t="s">
        <v>26</v>
      </c>
      <c r="O466" s="2">
        <v>-283951772.24000001</v>
      </c>
      <c r="P466" s="1" t="s">
        <v>27</v>
      </c>
    </row>
    <row r="467" spans="1:16" outlineLevel="2">
      <c r="A467" s="1" t="s">
        <v>881</v>
      </c>
      <c r="B467" s="1" t="s">
        <v>882</v>
      </c>
      <c r="C467" s="1" t="s">
        <v>883</v>
      </c>
      <c r="D467" s="2">
        <v>-222873180.53</v>
      </c>
      <c r="E467" s="1" t="s">
        <v>903</v>
      </c>
      <c r="F467" s="3">
        <v>46227</v>
      </c>
      <c r="G467" s="4">
        <v>901226733</v>
      </c>
      <c r="H467" s="1" t="s">
        <v>163</v>
      </c>
      <c r="I467" s="1" t="s">
        <v>187</v>
      </c>
      <c r="J467" s="1" t="s">
        <v>904</v>
      </c>
      <c r="K467" s="2" t="s">
        <v>24</v>
      </c>
      <c r="L467" s="1" t="s">
        <v>25</v>
      </c>
      <c r="M467" s="2">
        <v>10330546.6</v>
      </c>
      <c r="N467" s="2" t="s">
        <v>26</v>
      </c>
      <c r="O467" s="2">
        <v>-273621225.63999999</v>
      </c>
      <c r="P467" s="1" t="s">
        <v>27</v>
      </c>
    </row>
    <row r="468" spans="1:16" outlineLevel="1">
      <c r="A468" s="13" t="s">
        <v>1428</v>
      </c>
      <c r="M468" s="2">
        <f>SUBTOTAL(9,M460:M467)</f>
        <v>16970112.48</v>
      </c>
      <c r="N468" s="2">
        <f>SUBTOTAL(9,N460:N467)</f>
        <v>67718157.590000004</v>
      </c>
    </row>
    <row r="469" spans="1:16" outlineLevel="2">
      <c r="A469" s="1" t="s">
        <v>905</v>
      </c>
      <c r="B469" s="1" t="s">
        <v>906</v>
      </c>
      <c r="C469" s="1" t="s">
        <v>907</v>
      </c>
      <c r="D469" s="2">
        <v>-150000000</v>
      </c>
      <c r="E469" s="1" t="s">
        <v>18</v>
      </c>
      <c r="F469" s="3" t="s">
        <v>19</v>
      </c>
      <c r="G469" s="4" t="s">
        <v>20</v>
      </c>
      <c r="H469" s="1" t="s">
        <v>21</v>
      </c>
      <c r="I469" s="1" t="s">
        <v>22</v>
      </c>
      <c r="J469" s="1" t="s">
        <v>23</v>
      </c>
      <c r="K469" s="2" t="s">
        <v>24</v>
      </c>
      <c r="L469" s="1" t="s">
        <v>25</v>
      </c>
      <c r="M469" s="2" t="s">
        <v>26</v>
      </c>
      <c r="N469" s="2" t="s">
        <v>26</v>
      </c>
      <c r="O469" s="2">
        <v>-150000000</v>
      </c>
      <c r="P469" s="1" t="s">
        <v>27</v>
      </c>
    </row>
    <row r="470" spans="1:16" outlineLevel="1">
      <c r="A470" s="13" t="s">
        <v>1429</v>
      </c>
      <c r="M470" s="2">
        <f>SUBTOTAL(9,M469:M469)</f>
        <v>0</v>
      </c>
      <c r="N470" s="2">
        <f>SUBTOTAL(9,N469:N469)</f>
        <v>0</v>
      </c>
    </row>
    <row r="471" spans="1:16" outlineLevel="2">
      <c r="A471" s="1" t="s">
        <v>908</v>
      </c>
      <c r="B471" s="1" t="s">
        <v>909</v>
      </c>
      <c r="C471" s="1" t="s">
        <v>910</v>
      </c>
      <c r="D471" s="2">
        <v>50000000</v>
      </c>
      <c r="E471" s="1" t="s">
        <v>18</v>
      </c>
      <c r="F471" s="3" t="s">
        <v>19</v>
      </c>
      <c r="G471" s="4" t="s">
        <v>20</v>
      </c>
      <c r="H471" s="1" t="s">
        <v>21</v>
      </c>
      <c r="I471" s="1" t="s">
        <v>22</v>
      </c>
      <c r="J471" s="1" t="s">
        <v>23</v>
      </c>
      <c r="K471" s="2" t="s">
        <v>24</v>
      </c>
      <c r="L471" s="1" t="s">
        <v>25</v>
      </c>
      <c r="M471" s="2" t="s">
        <v>26</v>
      </c>
      <c r="N471" s="2" t="s">
        <v>26</v>
      </c>
      <c r="O471" s="2">
        <v>50000000</v>
      </c>
      <c r="P471" s="1" t="s">
        <v>27</v>
      </c>
    </row>
    <row r="472" spans="1:16" outlineLevel="1">
      <c r="A472" s="13" t="s">
        <v>1430</v>
      </c>
      <c r="M472" s="2">
        <f>SUBTOTAL(9,M471:M471)</f>
        <v>0</v>
      </c>
      <c r="N472" s="2">
        <f>SUBTOTAL(9,N471:N471)</f>
        <v>0</v>
      </c>
    </row>
    <row r="473" spans="1:16" outlineLevel="2">
      <c r="A473" s="1" t="s">
        <v>911</v>
      </c>
      <c r="B473" s="1" t="s">
        <v>912</v>
      </c>
      <c r="C473" s="1" t="s">
        <v>913</v>
      </c>
      <c r="D473" s="2">
        <v>-268076129.19</v>
      </c>
      <c r="E473" s="1" t="s">
        <v>18</v>
      </c>
      <c r="F473" s="3" t="s">
        <v>19</v>
      </c>
      <c r="G473" s="4" t="s">
        <v>20</v>
      </c>
      <c r="H473" s="1" t="s">
        <v>21</v>
      </c>
      <c r="I473" s="1" t="s">
        <v>22</v>
      </c>
      <c r="J473" s="1" t="s">
        <v>23</v>
      </c>
      <c r="K473" s="2" t="s">
        <v>24</v>
      </c>
      <c r="L473" s="1" t="s">
        <v>25</v>
      </c>
      <c r="M473" s="2" t="s">
        <v>26</v>
      </c>
      <c r="N473" s="2" t="s">
        <v>26</v>
      </c>
      <c r="O473" s="2">
        <v>-268076129.19</v>
      </c>
      <c r="P473" s="1" t="s">
        <v>27</v>
      </c>
    </row>
    <row r="474" spans="1:16" outlineLevel="1">
      <c r="A474" s="13" t="s">
        <v>1431</v>
      </c>
      <c r="M474" s="2">
        <f>SUBTOTAL(9,M473:M473)</f>
        <v>0</v>
      </c>
      <c r="N474" s="2">
        <f>SUBTOTAL(9,N473:N473)</f>
        <v>0</v>
      </c>
    </row>
    <row r="475" spans="1:16" outlineLevel="2">
      <c r="A475" s="1" t="s">
        <v>914</v>
      </c>
      <c r="B475" s="1" t="s">
        <v>915</v>
      </c>
      <c r="C475" s="1" t="s">
        <v>916</v>
      </c>
      <c r="D475" s="2">
        <v>513383183.05000001</v>
      </c>
      <c r="E475" s="1" t="s">
        <v>18</v>
      </c>
      <c r="F475" s="3" t="s">
        <v>19</v>
      </c>
      <c r="G475" s="4" t="s">
        <v>20</v>
      </c>
      <c r="H475" s="1" t="s">
        <v>21</v>
      </c>
      <c r="I475" s="1" t="s">
        <v>22</v>
      </c>
      <c r="J475" s="1" t="s">
        <v>23</v>
      </c>
      <c r="K475" s="2" t="s">
        <v>24</v>
      </c>
      <c r="L475" s="1" t="s">
        <v>25</v>
      </c>
      <c r="M475" s="2" t="s">
        <v>26</v>
      </c>
      <c r="N475" s="2" t="s">
        <v>26</v>
      </c>
      <c r="O475" s="2">
        <v>513383183.05000001</v>
      </c>
      <c r="P475" s="1" t="s">
        <v>27</v>
      </c>
    </row>
    <row r="476" spans="1:16" outlineLevel="1">
      <c r="A476" s="13" t="s">
        <v>1432</v>
      </c>
      <c r="M476" s="2">
        <f>SUBTOTAL(9,M475:M475)</f>
        <v>0</v>
      </c>
      <c r="N476" s="2">
        <f>SUBTOTAL(9,N475:N475)</f>
        <v>0</v>
      </c>
    </row>
    <row r="477" spans="1:16" outlineLevel="2">
      <c r="A477" s="1" t="s">
        <v>917</v>
      </c>
      <c r="B477" s="1" t="s">
        <v>918</v>
      </c>
      <c r="C477" s="1" t="s">
        <v>919</v>
      </c>
      <c r="D477" s="2">
        <v>-478028468.86000001</v>
      </c>
      <c r="E477" s="1" t="s">
        <v>18</v>
      </c>
      <c r="F477" s="3" t="s">
        <v>19</v>
      </c>
      <c r="G477" s="4" t="s">
        <v>20</v>
      </c>
      <c r="H477" s="1" t="s">
        <v>21</v>
      </c>
      <c r="I477" s="1" t="s">
        <v>22</v>
      </c>
      <c r="J477" s="1" t="s">
        <v>23</v>
      </c>
      <c r="K477" s="2" t="s">
        <v>24</v>
      </c>
      <c r="L477" s="1" t="s">
        <v>25</v>
      </c>
      <c r="M477" s="2" t="s">
        <v>26</v>
      </c>
      <c r="N477" s="2" t="s">
        <v>26</v>
      </c>
      <c r="O477" s="2">
        <v>-478028468.86000001</v>
      </c>
      <c r="P477" s="1" t="s">
        <v>27</v>
      </c>
    </row>
    <row r="478" spans="1:16" outlineLevel="1">
      <c r="A478" s="13" t="s">
        <v>1433</v>
      </c>
      <c r="M478" s="2">
        <f>SUBTOTAL(9,M477:M477)</f>
        <v>0</v>
      </c>
      <c r="N478" s="2">
        <f>SUBTOTAL(9,N477:N477)</f>
        <v>0</v>
      </c>
    </row>
    <row r="479" spans="1:16" outlineLevel="2">
      <c r="A479" s="1" t="s">
        <v>920</v>
      </c>
      <c r="B479" s="1" t="s">
        <v>921</v>
      </c>
      <c r="C479" s="1" t="s">
        <v>922</v>
      </c>
      <c r="D479" s="2">
        <v>65674708</v>
      </c>
      <c r="E479" s="1" t="s">
        <v>18</v>
      </c>
      <c r="F479" s="3" t="s">
        <v>19</v>
      </c>
      <c r="G479" s="4" t="s">
        <v>20</v>
      </c>
      <c r="H479" s="1" t="s">
        <v>21</v>
      </c>
      <c r="I479" s="1" t="s">
        <v>22</v>
      </c>
      <c r="J479" s="1" t="s">
        <v>23</v>
      </c>
      <c r="K479" s="2" t="s">
        <v>24</v>
      </c>
      <c r="L479" s="1" t="s">
        <v>25</v>
      </c>
      <c r="M479" s="2" t="s">
        <v>26</v>
      </c>
      <c r="N479" s="2" t="s">
        <v>26</v>
      </c>
      <c r="O479" s="2">
        <v>65674708</v>
      </c>
      <c r="P479" s="1" t="s">
        <v>27</v>
      </c>
    </row>
    <row r="480" spans="1:16" outlineLevel="1">
      <c r="A480" s="13" t="s">
        <v>1434</v>
      </c>
      <c r="M480" s="2">
        <f>SUBTOTAL(9,M479:M479)</f>
        <v>0</v>
      </c>
      <c r="N480" s="2">
        <f>SUBTOTAL(9,N479:N479)</f>
        <v>0</v>
      </c>
    </row>
    <row r="481" spans="1:16" outlineLevel="2">
      <c r="A481" s="1" t="s">
        <v>923</v>
      </c>
      <c r="B481" s="1" t="s">
        <v>924</v>
      </c>
      <c r="C481" s="1" t="s">
        <v>925</v>
      </c>
      <c r="D481" s="2">
        <v>-6941449</v>
      </c>
      <c r="E481" s="1" t="s">
        <v>18</v>
      </c>
      <c r="F481" s="3" t="s">
        <v>19</v>
      </c>
      <c r="G481" s="4" t="s">
        <v>20</v>
      </c>
      <c r="H481" s="1" t="s">
        <v>21</v>
      </c>
      <c r="I481" s="1" t="s">
        <v>22</v>
      </c>
      <c r="J481" s="1" t="s">
        <v>23</v>
      </c>
      <c r="K481" s="2" t="s">
        <v>24</v>
      </c>
      <c r="L481" s="1" t="s">
        <v>25</v>
      </c>
      <c r="M481" s="2" t="s">
        <v>26</v>
      </c>
      <c r="N481" s="2" t="s">
        <v>26</v>
      </c>
      <c r="O481" s="2">
        <v>-6941449</v>
      </c>
      <c r="P481" s="1" t="s">
        <v>27</v>
      </c>
    </row>
    <row r="482" spans="1:16" outlineLevel="1">
      <c r="A482" s="13" t="s">
        <v>1435</v>
      </c>
      <c r="M482" s="2">
        <f>SUBTOTAL(9,M481:M481)</f>
        <v>0</v>
      </c>
      <c r="N482" s="2">
        <f>SUBTOTAL(9,N481:N481)</f>
        <v>0</v>
      </c>
    </row>
    <row r="483" spans="1:16" outlineLevel="2">
      <c r="A483" s="1" t="s">
        <v>926</v>
      </c>
      <c r="B483" s="1" t="s">
        <v>927</v>
      </c>
      <c r="C483" s="1" t="s">
        <v>928</v>
      </c>
      <c r="D483" s="2">
        <v>-42000000</v>
      </c>
      <c r="E483" s="1" t="s">
        <v>929</v>
      </c>
      <c r="F483" s="3">
        <v>46224</v>
      </c>
      <c r="G483" s="4">
        <v>901067419</v>
      </c>
      <c r="H483" s="1" t="s">
        <v>148</v>
      </c>
      <c r="I483" s="1" t="s">
        <v>930</v>
      </c>
      <c r="J483" s="1" t="s">
        <v>23</v>
      </c>
      <c r="K483" s="2" t="s">
        <v>24</v>
      </c>
      <c r="L483" s="1" t="s">
        <v>931</v>
      </c>
      <c r="M483" s="2" t="s">
        <v>26</v>
      </c>
      <c r="N483" s="2">
        <v>7000000</v>
      </c>
      <c r="O483" s="2">
        <v>-49000000</v>
      </c>
      <c r="P483" s="1" t="s">
        <v>150</v>
      </c>
    </row>
    <row r="484" spans="1:16" outlineLevel="1">
      <c r="A484" s="13" t="s">
        <v>1436</v>
      </c>
      <c r="M484" s="2">
        <f>SUBTOTAL(9,M483:M483)</f>
        <v>0</v>
      </c>
      <c r="N484" s="2">
        <f>SUBTOTAL(9,N483:N483)</f>
        <v>7000000</v>
      </c>
    </row>
    <row r="485" spans="1:16" outlineLevel="2">
      <c r="A485" s="1" t="s">
        <v>932</v>
      </c>
      <c r="B485" s="1" t="s">
        <v>933</v>
      </c>
      <c r="C485" s="1" t="s">
        <v>934</v>
      </c>
      <c r="D485" s="2">
        <v>-329554833.61000001</v>
      </c>
      <c r="E485" s="1" t="s">
        <v>935</v>
      </c>
      <c r="F485" s="3">
        <v>46213</v>
      </c>
      <c r="G485" s="4">
        <v>890211777</v>
      </c>
      <c r="H485" s="1" t="s">
        <v>128</v>
      </c>
      <c r="I485" s="1" t="s">
        <v>936</v>
      </c>
      <c r="J485" s="1" t="s">
        <v>23</v>
      </c>
      <c r="K485" s="2" t="s">
        <v>24</v>
      </c>
      <c r="L485" s="1" t="s">
        <v>931</v>
      </c>
      <c r="M485" s="2" t="s">
        <v>26</v>
      </c>
      <c r="N485" s="2">
        <v>650106</v>
      </c>
      <c r="O485" s="2">
        <v>-330204939.61000001</v>
      </c>
      <c r="P485" s="1" t="s">
        <v>130</v>
      </c>
    </row>
    <row r="486" spans="1:16" outlineLevel="2">
      <c r="A486" s="1" t="s">
        <v>932</v>
      </c>
      <c r="B486" s="1" t="s">
        <v>933</v>
      </c>
      <c r="C486" s="1" t="s">
        <v>934</v>
      </c>
      <c r="D486" s="2">
        <v>-329554833.61000001</v>
      </c>
      <c r="E486" s="1" t="s">
        <v>937</v>
      </c>
      <c r="F486" s="3">
        <v>46213</v>
      </c>
      <c r="G486" s="4">
        <v>890106697</v>
      </c>
      <c r="H486" s="1" t="s">
        <v>132</v>
      </c>
      <c r="I486" s="1" t="s">
        <v>938</v>
      </c>
      <c r="J486" s="1" t="s">
        <v>23</v>
      </c>
      <c r="K486" s="2" t="s">
        <v>24</v>
      </c>
      <c r="L486" s="1" t="s">
        <v>931</v>
      </c>
      <c r="M486" s="2" t="s">
        <v>26</v>
      </c>
      <c r="N486" s="2">
        <v>300000</v>
      </c>
      <c r="O486" s="2">
        <v>-330504939.61000001</v>
      </c>
      <c r="P486" s="1" t="s">
        <v>134</v>
      </c>
    </row>
    <row r="487" spans="1:16" outlineLevel="2">
      <c r="A487" s="1" t="s">
        <v>932</v>
      </c>
      <c r="B487" s="1" t="s">
        <v>933</v>
      </c>
      <c r="C487" s="1" t="s">
        <v>934</v>
      </c>
      <c r="D487" s="2">
        <v>-329554833.61000001</v>
      </c>
      <c r="E487" s="1" t="s">
        <v>939</v>
      </c>
      <c r="F487" s="3">
        <v>46213</v>
      </c>
      <c r="G487" s="4">
        <v>890106697</v>
      </c>
      <c r="H487" s="1" t="s">
        <v>132</v>
      </c>
      <c r="I487" s="1" t="s">
        <v>940</v>
      </c>
      <c r="J487" s="1" t="s">
        <v>23</v>
      </c>
      <c r="K487" s="2" t="s">
        <v>24</v>
      </c>
      <c r="L487" s="1" t="s">
        <v>931</v>
      </c>
      <c r="M487" s="2" t="s">
        <v>26</v>
      </c>
      <c r="N487" s="2">
        <v>120000</v>
      </c>
      <c r="O487" s="2">
        <v>-330624939.61000001</v>
      </c>
      <c r="P487" s="1" t="s">
        <v>134</v>
      </c>
    </row>
    <row r="488" spans="1:16" outlineLevel="2">
      <c r="A488" s="1" t="s">
        <v>932</v>
      </c>
      <c r="B488" s="1" t="s">
        <v>933</v>
      </c>
      <c r="C488" s="1" t="s">
        <v>934</v>
      </c>
      <c r="D488" s="2">
        <v>-329554833.61000001</v>
      </c>
      <c r="E488" s="1" t="s">
        <v>941</v>
      </c>
      <c r="F488" s="3">
        <v>46213</v>
      </c>
      <c r="G488" s="4">
        <v>890106697</v>
      </c>
      <c r="H488" s="1" t="s">
        <v>132</v>
      </c>
      <c r="I488" s="1" t="s">
        <v>942</v>
      </c>
      <c r="J488" s="1" t="s">
        <v>23</v>
      </c>
      <c r="K488" s="2" t="s">
        <v>24</v>
      </c>
      <c r="L488" s="1" t="s">
        <v>931</v>
      </c>
      <c r="M488" s="2" t="s">
        <v>26</v>
      </c>
      <c r="N488" s="2">
        <v>2063954</v>
      </c>
      <c r="O488" s="2">
        <v>-332688893.61000001</v>
      </c>
      <c r="P488" s="1" t="s">
        <v>134</v>
      </c>
    </row>
    <row r="489" spans="1:16" outlineLevel="2">
      <c r="A489" s="1" t="s">
        <v>932</v>
      </c>
      <c r="B489" s="1" t="s">
        <v>933</v>
      </c>
      <c r="C489" s="1" t="s">
        <v>934</v>
      </c>
      <c r="D489" s="2">
        <v>-329554833.61000001</v>
      </c>
      <c r="E489" s="1" t="s">
        <v>943</v>
      </c>
      <c r="F489" s="3">
        <v>46213</v>
      </c>
      <c r="G489" s="4">
        <v>890106697</v>
      </c>
      <c r="H489" s="1" t="s">
        <v>132</v>
      </c>
      <c r="I489" s="1" t="s">
        <v>938</v>
      </c>
      <c r="J489" s="1" t="s">
        <v>23</v>
      </c>
      <c r="K489" s="2" t="s">
        <v>24</v>
      </c>
      <c r="L489" s="1" t="s">
        <v>931</v>
      </c>
      <c r="M489" s="2" t="s">
        <v>26</v>
      </c>
      <c r="N489" s="2">
        <v>300000</v>
      </c>
      <c r="O489" s="2">
        <v>-332988893.61000001</v>
      </c>
      <c r="P489" s="1" t="s">
        <v>137</v>
      </c>
    </row>
    <row r="490" spans="1:16" outlineLevel="2">
      <c r="A490" s="1" t="s">
        <v>932</v>
      </c>
      <c r="B490" s="1" t="s">
        <v>933</v>
      </c>
      <c r="C490" s="1" t="s">
        <v>934</v>
      </c>
      <c r="D490" s="2">
        <v>-329554833.61000001</v>
      </c>
      <c r="E490" s="1" t="s">
        <v>944</v>
      </c>
      <c r="F490" s="3">
        <v>46213</v>
      </c>
      <c r="G490" s="4">
        <v>890106697</v>
      </c>
      <c r="H490" s="1" t="s">
        <v>132</v>
      </c>
      <c r="I490" s="1" t="s">
        <v>940</v>
      </c>
      <c r="J490" s="1" t="s">
        <v>23</v>
      </c>
      <c r="K490" s="2" t="s">
        <v>24</v>
      </c>
      <c r="L490" s="1" t="s">
        <v>931</v>
      </c>
      <c r="M490" s="2" t="s">
        <v>26</v>
      </c>
      <c r="N490" s="2">
        <v>120000</v>
      </c>
      <c r="O490" s="2">
        <v>-333108893.61000001</v>
      </c>
      <c r="P490" s="1" t="s">
        <v>137</v>
      </c>
    </row>
    <row r="491" spans="1:16" outlineLevel="2">
      <c r="A491" s="1" t="s">
        <v>932</v>
      </c>
      <c r="B491" s="1" t="s">
        <v>933</v>
      </c>
      <c r="C491" s="1" t="s">
        <v>934</v>
      </c>
      <c r="D491" s="2">
        <v>-329554833.61000001</v>
      </c>
      <c r="E491" s="1" t="s">
        <v>945</v>
      </c>
      <c r="F491" s="3">
        <v>46213</v>
      </c>
      <c r="G491" s="4">
        <v>890106697</v>
      </c>
      <c r="H491" s="1" t="s">
        <v>132</v>
      </c>
      <c r="I491" s="1" t="s">
        <v>942</v>
      </c>
      <c r="J491" s="1" t="s">
        <v>23</v>
      </c>
      <c r="K491" s="2" t="s">
        <v>24</v>
      </c>
      <c r="L491" s="1" t="s">
        <v>931</v>
      </c>
      <c r="M491" s="2" t="s">
        <v>26</v>
      </c>
      <c r="N491" s="2">
        <v>2063954</v>
      </c>
      <c r="O491" s="2">
        <v>-335172847.61000001</v>
      </c>
      <c r="P491" s="1" t="s">
        <v>137</v>
      </c>
    </row>
    <row r="492" spans="1:16" outlineLevel="2">
      <c r="A492" s="1" t="s">
        <v>932</v>
      </c>
      <c r="B492" s="1" t="s">
        <v>933</v>
      </c>
      <c r="C492" s="1" t="s">
        <v>934</v>
      </c>
      <c r="D492" s="2">
        <v>-329554833.61000001</v>
      </c>
      <c r="E492" s="1" t="s">
        <v>946</v>
      </c>
      <c r="F492" s="3">
        <v>46220</v>
      </c>
      <c r="G492" s="4">
        <v>830060331</v>
      </c>
      <c r="H492" s="1" t="s">
        <v>124</v>
      </c>
      <c r="I492" s="1" t="s">
        <v>947</v>
      </c>
      <c r="J492" s="1" t="s">
        <v>23</v>
      </c>
      <c r="K492" s="2" t="s">
        <v>24</v>
      </c>
      <c r="L492" s="1" t="s">
        <v>931</v>
      </c>
      <c r="M492" s="2" t="s">
        <v>26</v>
      </c>
      <c r="N492" s="2">
        <v>1972510.91</v>
      </c>
      <c r="O492" s="2">
        <v>-337145358.51999998</v>
      </c>
      <c r="P492" s="1" t="s">
        <v>140</v>
      </c>
    </row>
    <row r="493" spans="1:16" outlineLevel="2">
      <c r="A493" s="1" t="s">
        <v>932</v>
      </c>
      <c r="B493" s="1" t="s">
        <v>933</v>
      </c>
      <c r="C493" s="1" t="s">
        <v>934</v>
      </c>
      <c r="D493" s="2">
        <v>-329554833.61000001</v>
      </c>
      <c r="E493" s="1" t="s">
        <v>948</v>
      </c>
      <c r="F493" s="3">
        <v>46220</v>
      </c>
      <c r="G493" s="4">
        <v>830060331</v>
      </c>
      <c r="H493" s="1" t="s">
        <v>124</v>
      </c>
      <c r="I493" s="1" t="s">
        <v>947</v>
      </c>
      <c r="J493" s="1" t="s">
        <v>23</v>
      </c>
      <c r="K493" s="2" t="s">
        <v>24</v>
      </c>
      <c r="L493" s="1" t="s">
        <v>931</v>
      </c>
      <c r="M493" s="2" t="s">
        <v>26</v>
      </c>
      <c r="N493" s="2">
        <v>4674582.42</v>
      </c>
      <c r="O493" s="2">
        <v>-341819940.94</v>
      </c>
      <c r="P493" s="1" t="s">
        <v>143</v>
      </c>
    </row>
    <row r="494" spans="1:16" outlineLevel="2">
      <c r="A494" s="1" t="s">
        <v>932</v>
      </c>
      <c r="B494" s="1" t="s">
        <v>933</v>
      </c>
      <c r="C494" s="1" t="s">
        <v>934</v>
      </c>
      <c r="D494" s="2">
        <v>-329554833.61000001</v>
      </c>
      <c r="E494" s="1" t="s">
        <v>949</v>
      </c>
      <c r="F494" s="3">
        <v>46220</v>
      </c>
      <c r="G494" s="4">
        <v>800148462</v>
      </c>
      <c r="H494" s="1" t="s">
        <v>115</v>
      </c>
      <c r="I494" s="1" t="s">
        <v>950</v>
      </c>
      <c r="J494" s="1" t="s">
        <v>23</v>
      </c>
      <c r="K494" s="2" t="s">
        <v>24</v>
      </c>
      <c r="L494" s="1" t="s">
        <v>931</v>
      </c>
      <c r="M494" s="2" t="s">
        <v>26</v>
      </c>
      <c r="N494" s="2">
        <v>7000000</v>
      </c>
      <c r="O494" s="2">
        <v>-348819940.94</v>
      </c>
      <c r="P494" s="1" t="s">
        <v>146</v>
      </c>
    </row>
    <row r="495" spans="1:16" outlineLevel="2">
      <c r="A495" s="1" t="s">
        <v>932</v>
      </c>
      <c r="B495" s="1" t="s">
        <v>933</v>
      </c>
      <c r="C495" s="1" t="s">
        <v>934</v>
      </c>
      <c r="D495" s="2">
        <v>-329554833.61000001</v>
      </c>
      <c r="E495" s="1" t="s">
        <v>951</v>
      </c>
      <c r="F495" s="3">
        <v>46224</v>
      </c>
      <c r="G495" s="4">
        <v>901069576</v>
      </c>
      <c r="H495" s="1" t="s">
        <v>152</v>
      </c>
      <c r="I495" s="1" t="s">
        <v>952</v>
      </c>
      <c r="J495" s="1" t="s">
        <v>23</v>
      </c>
      <c r="K495" s="2" t="s">
        <v>24</v>
      </c>
      <c r="L495" s="1" t="s">
        <v>931</v>
      </c>
      <c r="M495" s="2" t="s">
        <v>26</v>
      </c>
      <c r="N495" s="2">
        <v>1500000</v>
      </c>
      <c r="O495" s="2">
        <v>-350319940.94</v>
      </c>
      <c r="P495" s="1" t="s">
        <v>155</v>
      </c>
    </row>
    <row r="496" spans="1:16" outlineLevel="2">
      <c r="A496" s="1" t="s">
        <v>932</v>
      </c>
      <c r="B496" s="1" t="s">
        <v>933</v>
      </c>
      <c r="C496" s="1" t="s">
        <v>934</v>
      </c>
      <c r="D496" s="2">
        <v>-329554833.61000001</v>
      </c>
      <c r="E496" s="1" t="s">
        <v>953</v>
      </c>
      <c r="F496" s="3">
        <v>46224</v>
      </c>
      <c r="G496" s="4">
        <v>901069576</v>
      </c>
      <c r="H496" s="1" t="s">
        <v>152</v>
      </c>
      <c r="I496" s="1" t="s">
        <v>954</v>
      </c>
      <c r="J496" s="1" t="s">
        <v>23</v>
      </c>
      <c r="K496" s="2" t="s">
        <v>24</v>
      </c>
      <c r="L496" s="1" t="s">
        <v>931</v>
      </c>
      <c r="M496" s="2" t="s">
        <v>26</v>
      </c>
      <c r="N496" s="2">
        <v>1500000</v>
      </c>
      <c r="O496" s="2">
        <v>-351819940.94</v>
      </c>
      <c r="P496" s="1" t="s">
        <v>155</v>
      </c>
    </row>
    <row r="497" spans="1:16" outlineLevel="2">
      <c r="A497" s="1" t="s">
        <v>932</v>
      </c>
      <c r="B497" s="1" t="s">
        <v>933</v>
      </c>
      <c r="C497" s="1" t="s">
        <v>934</v>
      </c>
      <c r="D497" s="2">
        <v>-329554833.61000001</v>
      </c>
      <c r="E497" s="1" t="s">
        <v>955</v>
      </c>
      <c r="F497" s="3">
        <v>46227</v>
      </c>
      <c r="G497" s="4">
        <v>901226733</v>
      </c>
      <c r="H497" s="1" t="s">
        <v>163</v>
      </c>
      <c r="I497" s="1" t="s">
        <v>956</v>
      </c>
      <c r="J497" s="1" t="s">
        <v>23</v>
      </c>
      <c r="K497" s="2" t="s">
        <v>24</v>
      </c>
      <c r="L497" s="1" t="s">
        <v>931</v>
      </c>
      <c r="M497" s="2" t="s">
        <v>26</v>
      </c>
      <c r="N497" s="2">
        <v>1703084</v>
      </c>
      <c r="O497" s="2">
        <v>-353523024.94</v>
      </c>
      <c r="P497" s="1" t="s">
        <v>165</v>
      </c>
    </row>
    <row r="498" spans="1:16" outlineLevel="2">
      <c r="A498" s="1" t="s">
        <v>932</v>
      </c>
      <c r="B498" s="1" t="s">
        <v>933</v>
      </c>
      <c r="C498" s="1" t="s">
        <v>934</v>
      </c>
      <c r="D498" s="2">
        <v>-329554833.61000001</v>
      </c>
      <c r="E498" s="1" t="s">
        <v>957</v>
      </c>
      <c r="F498" s="3">
        <v>46227</v>
      </c>
      <c r="G498" s="4">
        <v>901226733</v>
      </c>
      <c r="H498" s="1" t="s">
        <v>163</v>
      </c>
      <c r="I498" s="1" t="s">
        <v>958</v>
      </c>
      <c r="J498" s="1" t="s">
        <v>23</v>
      </c>
      <c r="K498" s="2" t="s">
        <v>24</v>
      </c>
      <c r="L498" s="1" t="s">
        <v>931</v>
      </c>
      <c r="M498" s="2" t="s">
        <v>26</v>
      </c>
      <c r="N498" s="2">
        <v>2160000</v>
      </c>
      <c r="O498" s="2">
        <v>-355683024.94</v>
      </c>
      <c r="P498" s="1" t="s">
        <v>165</v>
      </c>
    </row>
    <row r="499" spans="1:16" outlineLevel="2">
      <c r="A499" s="1" t="s">
        <v>932</v>
      </c>
      <c r="B499" s="1" t="s">
        <v>933</v>
      </c>
      <c r="C499" s="1" t="s">
        <v>934</v>
      </c>
      <c r="D499" s="2">
        <v>-329554833.61000001</v>
      </c>
      <c r="E499" s="1" t="s">
        <v>959</v>
      </c>
      <c r="F499" s="3">
        <v>46227</v>
      </c>
      <c r="G499" s="4">
        <v>901226733</v>
      </c>
      <c r="H499" s="1" t="s">
        <v>163</v>
      </c>
      <c r="I499" s="1" t="s">
        <v>960</v>
      </c>
      <c r="J499" s="1" t="s">
        <v>23</v>
      </c>
      <c r="K499" s="2" t="s">
        <v>24</v>
      </c>
      <c r="L499" s="1" t="s">
        <v>931</v>
      </c>
      <c r="M499" s="2" t="s">
        <v>26</v>
      </c>
      <c r="N499" s="2">
        <v>480000</v>
      </c>
      <c r="O499" s="2">
        <v>-356163024.94</v>
      </c>
      <c r="P499" s="1" t="s">
        <v>165</v>
      </c>
    </row>
    <row r="500" spans="1:16" outlineLevel="2">
      <c r="A500" s="1" t="s">
        <v>932</v>
      </c>
      <c r="B500" s="1" t="s">
        <v>933</v>
      </c>
      <c r="C500" s="1" t="s">
        <v>934</v>
      </c>
      <c r="D500" s="2">
        <v>-329554833.61000001</v>
      </c>
      <c r="E500" s="1" t="s">
        <v>961</v>
      </c>
      <c r="F500" s="3">
        <v>46227</v>
      </c>
      <c r="G500" s="4">
        <v>901226733</v>
      </c>
      <c r="H500" s="1" t="s">
        <v>163</v>
      </c>
      <c r="I500" s="1" t="s">
        <v>962</v>
      </c>
      <c r="J500" s="1" t="s">
        <v>23</v>
      </c>
      <c r="K500" s="2" t="s">
        <v>24</v>
      </c>
      <c r="L500" s="1" t="s">
        <v>931</v>
      </c>
      <c r="M500" s="2" t="s">
        <v>26</v>
      </c>
      <c r="N500" s="2">
        <v>640000</v>
      </c>
      <c r="O500" s="2">
        <v>-356803024.94</v>
      </c>
      <c r="P500" s="1" t="s">
        <v>165</v>
      </c>
    </row>
    <row r="501" spans="1:16" outlineLevel="2">
      <c r="A501" s="1" t="s">
        <v>932</v>
      </c>
      <c r="B501" s="1" t="s">
        <v>933</v>
      </c>
      <c r="C501" s="1" t="s">
        <v>934</v>
      </c>
      <c r="D501" s="2">
        <v>-329554833.61000001</v>
      </c>
      <c r="E501" s="1" t="s">
        <v>963</v>
      </c>
      <c r="F501" s="3">
        <v>46227</v>
      </c>
      <c r="G501" s="4">
        <v>901226733</v>
      </c>
      <c r="H501" s="1" t="s">
        <v>163</v>
      </c>
      <c r="I501" s="1" t="s">
        <v>964</v>
      </c>
      <c r="J501" s="1" t="s">
        <v>23</v>
      </c>
      <c r="K501" s="2" t="s">
        <v>24</v>
      </c>
      <c r="L501" s="1" t="s">
        <v>931</v>
      </c>
      <c r="M501" s="2" t="s">
        <v>26</v>
      </c>
      <c r="N501" s="2">
        <v>1680000</v>
      </c>
      <c r="O501" s="2">
        <v>-358483024.94</v>
      </c>
      <c r="P501" s="1" t="s">
        <v>165</v>
      </c>
    </row>
    <row r="502" spans="1:16" outlineLevel="2">
      <c r="A502" s="1" t="s">
        <v>932</v>
      </c>
      <c r="B502" s="1" t="s">
        <v>933</v>
      </c>
      <c r="C502" s="1" t="s">
        <v>934</v>
      </c>
      <c r="D502" s="2">
        <v>-329554833.61000001</v>
      </c>
      <c r="E502" s="1" t="s">
        <v>965</v>
      </c>
      <c r="F502" s="3">
        <v>46227</v>
      </c>
      <c r="G502" s="4">
        <v>901226733</v>
      </c>
      <c r="H502" s="1" t="s">
        <v>163</v>
      </c>
      <c r="I502" s="1" t="s">
        <v>966</v>
      </c>
      <c r="J502" s="1" t="s">
        <v>23</v>
      </c>
      <c r="K502" s="2" t="s">
        <v>24</v>
      </c>
      <c r="L502" s="1" t="s">
        <v>931</v>
      </c>
      <c r="M502" s="2" t="s">
        <v>26</v>
      </c>
      <c r="N502" s="2">
        <v>800000</v>
      </c>
      <c r="O502" s="2">
        <v>-359283024.94</v>
      </c>
      <c r="P502" s="1" t="s">
        <v>165</v>
      </c>
    </row>
    <row r="503" spans="1:16" outlineLevel="2">
      <c r="A503" s="1" t="s">
        <v>932</v>
      </c>
      <c r="B503" s="1" t="s">
        <v>933</v>
      </c>
      <c r="C503" s="1" t="s">
        <v>934</v>
      </c>
      <c r="D503" s="2">
        <v>-329554833.61000001</v>
      </c>
      <c r="E503" s="1" t="s">
        <v>967</v>
      </c>
      <c r="F503" s="3">
        <v>46227</v>
      </c>
      <c r="G503" s="4">
        <v>901226733</v>
      </c>
      <c r="H503" s="1" t="s">
        <v>163</v>
      </c>
      <c r="I503" s="1" t="s">
        <v>968</v>
      </c>
      <c r="J503" s="1" t="s">
        <v>23</v>
      </c>
      <c r="K503" s="2" t="s">
        <v>24</v>
      </c>
      <c r="L503" s="1" t="s">
        <v>931</v>
      </c>
      <c r="M503" s="2" t="s">
        <v>26</v>
      </c>
      <c r="N503" s="2">
        <v>1520000</v>
      </c>
      <c r="O503" s="2">
        <v>-360803024.94</v>
      </c>
      <c r="P503" s="1" t="s">
        <v>165</v>
      </c>
    </row>
    <row r="504" spans="1:16" outlineLevel="2">
      <c r="A504" s="1" t="s">
        <v>932</v>
      </c>
      <c r="B504" s="1" t="s">
        <v>933</v>
      </c>
      <c r="C504" s="1" t="s">
        <v>934</v>
      </c>
      <c r="D504" s="2">
        <v>-329554833.61000001</v>
      </c>
      <c r="E504" s="1" t="s">
        <v>969</v>
      </c>
      <c r="F504" s="3">
        <v>46227</v>
      </c>
      <c r="G504" s="4">
        <v>830060331</v>
      </c>
      <c r="H504" s="1" t="s">
        <v>124</v>
      </c>
      <c r="I504" s="1" t="s">
        <v>947</v>
      </c>
      <c r="J504" s="1" t="s">
        <v>23</v>
      </c>
      <c r="K504" s="2" t="s">
        <v>24</v>
      </c>
      <c r="L504" s="1" t="s">
        <v>931</v>
      </c>
      <c r="M504" s="2" t="s">
        <v>26</v>
      </c>
      <c r="N504" s="2">
        <v>4674582.42</v>
      </c>
      <c r="O504" s="2">
        <v>-365477607.36000001</v>
      </c>
      <c r="P504" s="1" t="s">
        <v>168</v>
      </c>
    </row>
    <row r="505" spans="1:16" outlineLevel="2">
      <c r="A505" s="1" t="s">
        <v>932</v>
      </c>
      <c r="B505" s="1" t="s">
        <v>933</v>
      </c>
      <c r="C505" s="1" t="s">
        <v>934</v>
      </c>
      <c r="D505" s="2">
        <v>-329554833.61000001</v>
      </c>
      <c r="E505" s="1" t="s">
        <v>970</v>
      </c>
      <c r="F505" s="3">
        <v>46227</v>
      </c>
      <c r="G505" s="4">
        <v>890106697</v>
      </c>
      <c r="H505" s="1" t="s">
        <v>132</v>
      </c>
      <c r="I505" s="1" t="s">
        <v>971</v>
      </c>
      <c r="J505" s="1" t="s">
        <v>23</v>
      </c>
      <c r="K505" s="2" t="s">
        <v>24</v>
      </c>
      <c r="L505" s="1" t="s">
        <v>931</v>
      </c>
      <c r="M505" s="2" t="s">
        <v>26</v>
      </c>
      <c r="N505" s="2">
        <v>869073</v>
      </c>
      <c r="O505" s="2">
        <v>-366346680.36000001</v>
      </c>
      <c r="P505" s="1" t="s">
        <v>171</v>
      </c>
    </row>
    <row r="506" spans="1:16" outlineLevel="2">
      <c r="A506" s="1" t="s">
        <v>932</v>
      </c>
      <c r="B506" s="1" t="s">
        <v>933</v>
      </c>
      <c r="C506" s="1" t="s">
        <v>934</v>
      </c>
      <c r="D506" s="2">
        <v>-329554833.61000001</v>
      </c>
      <c r="E506" s="1" t="s">
        <v>972</v>
      </c>
      <c r="F506" s="3">
        <v>46230</v>
      </c>
      <c r="G506" s="4">
        <v>900268901</v>
      </c>
      <c r="H506" s="1" t="s">
        <v>189</v>
      </c>
      <c r="I506" s="1" t="s">
        <v>973</v>
      </c>
      <c r="J506" s="1" t="s">
        <v>23</v>
      </c>
      <c r="K506" s="2" t="s">
        <v>24</v>
      </c>
      <c r="L506" s="1" t="s">
        <v>931</v>
      </c>
      <c r="M506" s="2" t="s">
        <v>26</v>
      </c>
      <c r="N506" s="2">
        <v>12374471</v>
      </c>
      <c r="O506" s="2">
        <v>-378721151.36000001</v>
      </c>
      <c r="P506" s="1" t="s">
        <v>192</v>
      </c>
    </row>
    <row r="507" spans="1:16" outlineLevel="1">
      <c r="A507" s="13" t="s">
        <v>1437</v>
      </c>
      <c r="M507" s="2">
        <f>SUBTOTAL(9,M485:M506)</f>
        <v>0</v>
      </c>
      <c r="N507" s="2">
        <f>SUBTOTAL(9,N485:N506)</f>
        <v>49166317.75</v>
      </c>
    </row>
    <row r="508" spans="1:16" outlineLevel="2">
      <c r="A508" s="1" t="s">
        <v>974</v>
      </c>
      <c r="B508" s="1" t="s">
        <v>975</v>
      </c>
      <c r="C508" s="1" t="s">
        <v>976</v>
      </c>
      <c r="D508" s="2">
        <v>-108248.02</v>
      </c>
      <c r="E508" s="1" t="s">
        <v>18</v>
      </c>
      <c r="F508" s="3" t="s">
        <v>19</v>
      </c>
      <c r="G508" s="4" t="s">
        <v>20</v>
      </c>
      <c r="H508" s="1" t="s">
        <v>21</v>
      </c>
      <c r="I508" s="1" t="s">
        <v>22</v>
      </c>
      <c r="J508" s="1" t="s">
        <v>23</v>
      </c>
      <c r="K508" s="2" t="s">
        <v>24</v>
      </c>
      <c r="L508" s="1" t="s">
        <v>25</v>
      </c>
      <c r="M508" s="2" t="s">
        <v>26</v>
      </c>
      <c r="N508" s="2" t="s">
        <v>26</v>
      </c>
      <c r="O508" s="2">
        <v>-108248.02</v>
      </c>
      <c r="P508" s="1" t="s">
        <v>27</v>
      </c>
    </row>
    <row r="509" spans="1:16" outlineLevel="1">
      <c r="A509" s="13" t="s">
        <v>1438</v>
      </c>
      <c r="M509" s="2">
        <f>SUBTOTAL(9,M508:M508)</f>
        <v>0</v>
      </c>
      <c r="N509" s="2">
        <f>SUBTOTAL(9,N508:N508)</f>
        <v>0</v>
      </c>
    </row>
    <row r="510" spans="1:16" outlineLevel="2">
      <c r="A510" s="1" t="s">
        <v>977</v>
      </c>
      <c r="B510" s="1" t="s">
        <v>978</v>
      </c>
      <c r="C510" s="1" t="s">
        <v>979</v>
      </c>
      <c r="D510" s="2">
        <v>-5983255</v>
      </c>
      <c r="E510" s="1" t="s">
        <v>18</v>
      </c>
      <c r="F510" s="3" t="s">
        <v>19</v>
      </c>
      <c r="G510" s="4" t="s">
        <v>20</v>
      </c>
      <c r="H510" s="1" t="s">
        <v>21</v>
      </c>
      <c r="I510" s="1" t="s">
        <v>22</v>
      </c>
      <c r="J510" s="1" t="s">
        <v>23</v>
      </c>
      <c r="K510" s="2" t="s">
        <v>24</v>
      </c>
      <c r="L510" s="1" t="s">
        <v>25</v>
      </c>
      <c r="M510" s="2" t="s">
        <v>26</v>
      </c>
      <c r="N510" s="2" t="s">
        <v>26</v>
      </c>
      <c r="O510" s="2">
        <v>-5983255</v>
      </c>
      <c r="P510" s="1" t="s">
        <v>27</v>
      </c>
    </row>
    <row r="511" spans="1:16" outlineLevel="1">
      <c r="A511" s="13" t="s">
        <v>1439</v>
      </c>
      <c r="M511" s="2">
        <f>SUBTOTAL(9,M510:M510)</f>
        <v>0</v>
      </c>
      <c r="N511" s="2">
        <f>SUBTOTAL(9,N510:N510)</f>
        <v>0</v>
      </c>
    </row>
    <row r="512" spans="1:16" outlineLevel="2">
      <c r="A512" s="1" t="s">
        <v>980</v>
      </c>
      <c r="B512" s="1" t="s">
        <v>981</v>
      </c>
      <c r="C512" s="1" t="s">
        <v>982</v>
      </c>
      <c r="D512" s="2">
        <v>63648536</v>
      </c>
      <c r="E512" s="1" t="s">
        <v>18</v>
      </c>
      <c r="F512" s="3" t="s">
        <v>19</v>
      </c>
      <c r="G512" s="4" t="s">
        <v>20</v>
      </c>
      <c r="H512" s="1" t="s">
        <v>21</v>
      </c>
      <c r="I512" s="1" t="s">
        <v>22</v>
      </c>
      <c r="J512" s="1" t="s">
        <v>23</v>
      </c>
      <c r="K512" s="2" t="s">
        <v>24</v>
      </c>
      <c r="L512" s="1" t="s">
        <v>25</v>
      </c>
      <c r="M512" s="2" t="s">
        <v>26</v>
      </c>
      <c r="N512" s="2" t="s">
        <v>26</v>
      </c>
      <c r="O512" s="2">
        <v>63648536</v>
      </c>
      <c r="P512" s="1" t="s">
        <v>27</v>
      </c>
    </row>
    <row r="513" spans="1:16" outlineLevel="1">
      <c r="A513" s="13" t="s">
        <v>1440</v>
      </c>
      <c r="M513" s="2">
        <f>SUBTOTAL(9,M512:M512)</f>
        <v>0</v>
      </c>
      <c r="N513" s="2">
        <f>SUBTOTAL(9,N512:N512)</f>
        <v>0</v>
      </c>
    </row>
    <row r="514" spans="1:16" outlineLevel="2">
      <c r="A514" s="1" t="s">
        <v>983</v>
      </c>
      <c r="B514" s="1" t="s">
        <v>984</v>
      </c>
      <c r="C514" s="1" t="s">
        <v>985</v>
      </c>
      <c r="D514" s="2">
        <v>1148315</v>
      </c>
      <c r="E514" s="1" t="s">
        <v>18</v>
      </c>
      <c r="F514" s="3" t="s">
        <v>19</v>
      </c>
      <c r="G514" s="4" t="s">
        <v>20</v>
      </c>
      <c r="H514" s="1" t="s">
        <v>21</v>
      </c>
      <c r="I514" s="1" t="s">
        <v>22</v>
      </c>
      <c r="J514" s="1" t="s">
        <v>23</v>
      </c>
      <c r="K514" s="2" t="s">
        <v>24</v>
      </c>
      <c r="L514" s="1" t="s">
        <v>25</v>
      </c>
      <c r="M514" s="2" t="s">
        <v>26</v>
      </c>
      <c r="N514" s="2" t="s">
        <v>26</v>
      </c>
      <c r="O514" s="2">
        <v>1148315</v>
      </c>
      <c r="P514" s="1" t="s">
        <v>27</v>
      </c>
    </row>
    <row r="515" spans="1:16" outlineLevel="1">
      <c r="A515" s="13" t="s">
        <v>1441</v>
      </c>
      <c r="M515" s="2">
        <f>SUBTOTAL(9,M514:M514)</f>
        <v>0</v>
      </c>
      <c r="N515" s="2">
        <f>SUBTOTAL(9,N514:N514)</f>
        <v>0</v>
      </c>
    </row>
    <row r="516" spans="1:16" outlineLevel="2">
      <c r="A516" s="1" t="s">
        <v>986</v>
      </c>
      <c r="B516" s="1" t="s">
        <v>987</v>
      </c>
      <c r="C516" s="1" t="s">
        <v>988</v>
      </c>
      <c r="D516" s="2">
        <v>2789864</v>
      </c>
      <c r="E516" s="1" t="s">
        <v>18</v>
      </c>
      <c r="F516" s="3" t="s">
        <v>19</v>
      </c>
      <c r="G516" s="4" t="s">
        <v>20</v>
      </c>
      <c r="H516" s="1" t="s">
        <v>21</v>
      </c>
      <c r="I516" s="1" t="s">
        <v>22</v>
      </c>
      <c r="J516" s="1" t="s">
        <v>23</v>
      </c>
      <c r="K516" s="2" t="s">
        <v>24</v>
      </c>
      <c r="L516" s="1" t="s">
        <v>25</v>
      </c>
      <c r="M516" s="2" t="s">
        <v>26</v>
      </c>
      <c r="N516" s="2" t="s">
        <v>26</v>
      </c>
      <c r="O516" s="2">
        <v>2789864</v>
      </c>
      <c r="P516" s="1" t="s">
        <v>27</v>
      </c>
    </row>
    <row r="517" spans="1:16" outlineLevel="1">
      <c r="A517" s="13" t="s">
        <v>1442</v>
      </c>
      <c r="M517" s="2">
        <f>SUBTOTAL(9,M516:M516)</f>
        <v>0</v>
      </c>
      <c r="N517" s="2">
        <f>SUBTOTAL(9,N516:N516)</f>
        <v>0</v>
      </c>
    </row>
    <row r="518" spans="1:16" outlineLevel="2">
      <c r="A518" s="1" t="s">
        <v>989</v>
      </c>
      <c r="B518" s="1" t="s">
        <v>990</v>
      </c>
      <c r="C518" s="1" t="s">
        <v>872</v>
      </c>
      <c r="D518" s="2">
        <v>6561967</v>
      </c>
      <c r="E518" s="1" t="s">
        <v>18</v>
      </c>
      <c r="F518" s="3" t="s">
        <v>19</v>
      </c>
      <c r="G518" s="4" t="s">
        <v>20</v>
      </c>
      <c r="H518" s="1" t="s">
        <v>21</v>
      </c>
      <c r="I518" s="1" t="s">
        <v>22</v>
      </c>
      <c r="J518" s="1" t="s">
        <v>23</v>
      </c>
      <c r="K518" s="2" t="s">
        <v>24</v>
      </c>
      <c r="L518" s="1" t="s">
        <v>25</v>
      </c>
      <c r="M518" s="2" t="s">
        <v>26</v>
      </c>
      <c r="N518" s="2" t="s">
        <v>26</v>
      </c>
      <c r="O518" s="2">
        <v>6561967</v>
      </c>
      <c r="P518" s="1" t="s">
        <v>27</v>
      </c>
    </row>
    <row r="519" spans="1:16" outlineLevel="1">
      <c r="A519" s="13" t="s">
        <v>1443</v>
      </c>
      <c r="M519" s="2">
        <f>SUBTOTAL(9,M518:M518)</f>
        <v>0</v>
      </c>
      <c r="N519" s="2">
        <f>SUBTOTAL(9,N518:N518)</f>
        <v>0</v>
      </c>
    </row>
    <row r="520" spans="1:16" outlineLevel="2">
      <c r="A520" s="1" t="s">
        <v>991</v>
      </c>
      <c r="B520" s="1" t="s">
        <v>992</v>
      </c>
      <c r="C520" s="1" t="s">
        <v>863</v>
      </c>
      <c r="D520" s="2">
        <v>723323</v>
      </c>
      <c r="E520" s="1" t="s">
        <v>18</v>
      </c>
      <c r="F520" s="3" t="s">
        <v>19</v>
      </c>
      <c r="G520" s="4" t="s">
        <v>20</v>
      </c>
      <c r="H520" s="1" t="s">
        <v>21</v>
      </c>
      <c r="I520" s="1" t="s">
        <v>22</v>
      </c>
      <c r="J520" s="1" t="s">
        <v>23</v>
      </c>
      <c r="K520" s="2" t="s">
        <v>24</v>
      </c>
      <c r="L520" s="1" t="s">
        <v>25</v>
      </c>
      <c r="M520" s="2" t="s">
        <v>26</v>
      </c>
      <c r="N520" s="2" t="s">
        <v>26</v>
      </c>
      <c r="O520" s="2">
        <v>723323</v>
      </c>
      <c r="P520" s="1" t="s">
        <v>27</v>
      </c>
    </row>
    <row r="521" spans="1:16" outlineLevel="1">
      <c r="A521" s="13" t="s">
        <v>1444</v>
      </c>
      <c r="M521" s="2">
        <f>SUBTOTAL(9,M520:M520)</f>
        <v>0</v>
      </c>
      <c r="N521" s="2">
        <f>SUBTOTAL(9,N520:N520)</f>
        <v>0</v>
      </c>
    </row>
    <row r="522" spans="1:16" outlineLevel="2">
      <c r="A522" s="1" t="s">
        <v>993</v>
      </c>
      <c r="B522" s="1" t="s">
        <v>994</v>
      </c>
      <c r="C522" s="1" t="s">
        <v>880</v>
      </c>
      <c r="D522" s="2">
        <v>6025281</v>
      </c>
      <c r="E522" s="1" t="s">
        <v>18</v>
      </c>
      <c r="F522" s="3" t="s">
        <v>19</v>
      </c>
      <c r="G522" s="4" t="s">
        <v>20</v>
      </c>
      <c r="H522" s="1" t="s">
        <v>21</v>
      </c>
      <c r="I522" s="1" t="s">
        <v>22</v>
      </c>
      <c r="J522" s="1" t="s">
        <v>23</v>
      </c>
      <c r="K522" s="2" t="s">
        <v>24</v>
      </c>
      <c r="L522" s="1" t="s">
        <v>25</v>
      </c>
      <c r="M522" s="2" t="s">
        <v>26</v>
      </c>
      <c r="N522" s="2" t="s">
        <v>26</v>
      </c>
      <c r="O522" s="2">
        <v>6025281</v>
      </c>
      <c r="P522" s="1" t="s">
        <v>27</v>
      </c>
    </row>
    <row r="523" spans="1:16" outlineLevel="1">
      <c r="A523" s="13" t="s">
        <v>1445</v>
      </c>
      <c r="M523" s="2">
        <f>SUBTOTAL(9,M522:M522)</f>
        <v>0</v>
      </c>
      <c r="N523" s="2">
        <f>SUBTOTAL(9,N522:N522)</f>
        <v>0</v>
      </c>
    </row>
    <row r="524" spans="1:16" outlineLevel="2">
      <c r="A524" s="1" t="s">
        <v>995</v>
      </c>
      <c r="B524" s="1" t="s">
        <v>996</v>
      </c>
      <c r="C524" s="1" t="s">
        <v>877</v>
      </c>
      <c r="D524" s="2">
        <v>2677404</v>
      </c>
      <c r="E524" s="1" t="s">
        <v>18</v>
      </c>
      <c r="F524" s="3" t="s">
        <v>19</v>
      </c>
      <c r="G524" s="4" t="s">
        <v>20</v>
      </c>
      <c r="H524" s="1" t="s">
        <v>21</v>
      </c>
      <c r="I524" s="1" t="s">
        <v>22</v>
      </c>
      <c r="J524" s="1" t="s">
        <v>23</v>
      </c>
      <c r="K524" s="2" t="s">
        <v>24</v>
      </c>
      <c r="L524" s="1" t="s">
        <v>25</v>
      </c>
      <c r="M524" s="2" t="s">
        <v>26</v>
      </c>
      <c r="N524" s="2" t="s">
        <v>26</v>
      </c>
      <c r="O524" s="2">
        <v>2677404</v>
      </c>
      <c r="P524" s="1" t="s">
        <v>27</v>
      </c>
    </row>
    <row r="525" spans="1:16" outlineLevel="1">
      <c r="A525" s="13" t="s">
        <v>1446</v>
      </c>
      <c r="M525" s="2">
        <f>SUBTOTAL(9,M524:M524)</f>
        <v>0</v>
      </c>
      <c r="N525" s="2">
        <f>SUBTOTAL(9,N524:N524)</f>
        <v>0</v>
      </c>
    </row>
    <row r="526" spans="1:16" outlineLevel="2">
      <c r="A526" s="1" t="s">
        <v>997</v>
      </c>
      <c r="B526" s="1" t="s">
        <v>998</v>
      </c>
      <c r="C526" s="1" t="s">
        <v>999</v>
      </c>
      <c r="D526" s="2">
        <v>4510900</v>
      </c>
      <c r="E526" s="1" t="s">
        <v>18</v>
      </c>
      <c r="F526" s="3" t="s">
        <v>19</v>
      </c>
      <c r="G526" s="4" t="s">
        <v>20</v>
      </c>
      <c r="H526" s="1" t="s">
        <v>21</v>
      </c>
      <c r="I526" s="1" t="s">
        <v>22</v>
      </c>
      <c r="J526" s="1" t="s">
        <v>23</v>
      </c>
      <c r="K526" s="2" t="s">
        <v>24</v>
      </c>
      <c r="L526" s="1" t="s">
        <v>25</v>
      </c>
      <c r="M526" s="2" t="s">
        <v>26</v>
      </c>
      <c r="N526" s="2" t="s">
        <v>26</v>
      </c>
      <c r="O526" s="2">
        <v>4510900</v>
      </c>
      <c r="P526" s="1" t="s">
        <v>27</v>
      </c>
    </row>
    <row r="527" spans="1:16" outlineLevel="1">
      <c r="A527" s="13" t="s">
        <v>1447</v>
      </c>
      <c r="M527" s="2">
        <f>SUBTOTAL(9,M526:M526)</f>
        <v>0</v>
      </c>
      <c r="N527" s="2">
        <f>SUBTOTAL(9,N526:N526)</f>
        <v>0</v>
      </c>
    </row>
    <row r="528" spans="1:16" outlineLevel="2">
      <c r="A528" s="1" t="s">
        <v>1000</v>
      </c>
      <c r="B528" s="1" t="s">
        <v>1001</v>
      </c>
      <c r="C528" s="1" t="s">
        <v>706</v>
      </c>
      <c r="D528" s="2">
        <v>-294254</v>
      </c>
      <c r="E528" s="1" t="s">
        <v>18</v>
      </c>
      <c r="F528" s="3" t="s">
        <v>19</v>
      </c>
      <c r="G528" s="4" t="s">
        <v>20</v>
      </c>
      <c r="H528" s="1" t="s">
        <v>21</v>
      </c>
      <c r="I528" s="1" t="s">
        <v>22</v>
      </c>
      <c r="J528" s="1" t="s">
        <v>23</v>
      </c>
      <c r="K528" s="2" t="s">
        <v>24</v>
      </c>
      <c r="L528" s="1" t="s">
        <v>25</v>
      </c>
      <c r="M528" s="2" t="s">
        <v>26</v>
      </c>
      <c r="N528" s="2" t="s">
        <v>26</v>
      </c>
      <c r="O528" s="2">
        <v>-294254</v>
      </c>
      <c r="P528" s="1" t="s">
        <v>27</v>
      </c>
    </row>
    <row r="529" spans="1:16" outlineLevel="1">
      <c r="A529" s="13" t="s">
        <v>1448</v>
      </c>
      <c r="M529" s="2">
        <f>SUBTOTAL(9,M528:M528)</f>
        <v>0</v>
      </c>
      <c r="N529" s="2">
        <f>SUBTOTAL(9,N528:N528)</f>
        <v>0</v>
      </c>
    </row>
    <row r="530" spans="1:16" outlineLevel="2">
      <c r="A530" s="1" t="s">
        <v>1002</v>
      </c>
      <c r="B530" s="1" t="s">
        <v>1003</v>
      </c>
      <c r="C530" s="1" t="s">
        <v>1004</v>
      </c>
      <c r="D530" s="2">
        <v>7847346</v>
      </c>
      <c r="E530" s="1" t="s">
        <v>18</v>
      </c>
      <c r="F530" s="3" t="s">
        <v>19</v>
      </c>
      <c r="G530" s="4" t="s">
        <v>20</v>
      </c>
      <c r="H530" s="1" t="s">
        <v>21</v>
      </c>
      <c r="I530" s="1" t="s">
        <v>22</v>
      </c>
      <c r="J530" s="1" t="s">
        <v>23</v>
      </c>
      <c r="K530" s="2" t="s">
        <v>24</v>
      </c>
      <c r="L530" s="1" t="s">
        <v>25</v>
      </c>
      <c r="M530" s="2" t="s">
        <v>26</v>
      </c>
      <c r="N530" s="2" t="s">
        <v>26</v>
      </c>
      <c r="O530" s="2">
        <v>7847346</v>
      </c>
      <c r="P530" s="1" t="s">
        <v>27</v>
      </c>
    </row>
    <row r="531" spans="1:16" outlineLevel="1">
      <c r="A531" s="13" t="s">
        <v>1449</v>
      </c>
      <c r="M531" s="2">
        <f>SUBTOTAL(9,M530:M530)</f>
        <v>0</v>
      </c>
      <c r="N531" s="2">
        <f>SUBTOTAL(9,N530:N530)</f>
        <v>0</v>
      </c>
    </row>
    <row r="532" spans="1:16" outlineLevel="2">
      <c r="A532" s="1" t="s">
        <v>1005</v>
      </c>
      <c r="B532" s="1" t="s">
        <v>1006</v>
      </c>
      <c r="C532" s="1" t="s">
        <v>1007</v>
      </c>
      <c r="D532" s="2">
        <v>2656300</v>
      </c>
      <c r="E532" s="1" t="s">
        <v>18</v>
      </c>
      <c r="F532" s="3" t="s">
        <v>19</v>
      </c>
      <c r="G532" s="4" t="s">
        <v>20</v>
      </c>
      <c r="H532" s="1" t="s">
        <v>21</v>
      </c>
      <c r="I532" s="1" t="s">
        <v>22</v>
      </c>
      <c r="J532" s="1" t="s">
        <v>23</v>
      </c>
      <c r="K532" s="2" t="s">
        <v>24</v>
      </c>
      <c r="L532" s="1" t="s">
        <v>25</v>
      </c>
      <c r="M532" s="2" t="s">
        <v>26</v>
      </c>
      <c r="N532" s="2" t="s">
        <v>26</v>
      </c>
      <c r="O532" s="2">
        <v>2656300</v>
      </c>
      <c r="P532" s="1" t="s">
        <v>27</v>
      </c>
    </row>
    <row r="533" spans="1:16" outlineLevel="1">
      <c r="A533" s="13" t="s">
        <v>1450</v>
      </c>
      <c r="M533" s="2">
        <f>SUBTOTAL(9,M532:M532)</f>
        <v>0</v>
      </c>
      <c r="N533" s="2">
        <f>SUBTOTAL(9,N532:N532)</f>
        <v>0</v>
      </c>
    </row>
    <row r="534" spans="1:16" outlineLevel="2">
      <c r="A534" s="1" t="s">
        <v>1008</v>
      </c>
      <c r="B534" s="1" t="s">
        <v>1009</v>
      </c>
      <c r="C534" s="1" t="s">
        <v>1010</v>
      </c>
      <c r="D534" s="2">
        <v>865900</v>
      </c>
      <c r="E534" s="1" t="s">
        <v>18</v>
      </c>
      <c r="F534" s="3" t="s">
        <v>19</v>
      </c>
      <c r="G534" s="4" t="s">
        <v>20</v>
      </c>
      <c r="H534" s="1" t="s">
        <v>21</v>
      </c>
      <c r="I534" s="1" t="s">
        <v>22</v>
      </c>
      <c r="J534" s="1" t="s">
        <v>23</v>
      </c>
      <c r="K534" s="2" t="s">
        <v>24</v>
      </c>
      <c r="L534" s="1" t="s">
        <v>25</v>
      </c>
      <c r="M534" s="2" t="s">
        <v>26</v>
      </c>
      <c r="N534" s="2" t="s">
        <v>26</v>
      </c>
      <c r="O534" s="2">
        <v>865900</v>
      </c>
      <c r="P534" s="1" t="s">
        <v>27</v>
      </c>
    </row>
    <row r="535" spans="1:16" outlineLevel="1">
      <c r="A535" s="13" t="s">
        <v>1451</v>
      </c>
      <c r="M535" s="2">
        <f>SUBTOTAL(9,M534:M534)</f>
        <v>0</v>
      </c>
      <c r="N535" s="2">
        <f>SUBTOTAL(9,N534:N534)</f>
        <v>0</v>
      </c>
    </row>
    <row r="536" spans="1:16" outlineLevel="2">
      <c r="A536" s="1" t="s">
        <v>1011</v>
      </c>
      <c r="B536" s="1" t="s">
        <v>1012</v>
      </c>
      <c r="C536" s="1" t="s">
        <v>511</v>
      </c>
      <c r="D536" s="2">
        <v>12000000</v>
      </c>
      <c r="E536" s="1" t="s">
        <v>1013</v>
      </c>
      <c r="F536" s="3">
        <v>46219</v>
      </c>
      <c r="G536" s="4">
        <v>901047340</v>
      </c>
      <c r="H536" s="1" t="s">
        <v>407</v>
      </c>
      <c r="I536" s="1" t="s">
        <v>552</v>
      </c>
      <c r="J536" s="1" t="s">
        <v>23</v>
      </c>
      <c r="K536" s="2" t="s">
        <v>24</v>
      </c>
      <c r="L536" s="1" t="s">
        <v>931</v>
      </c>
      <c r="M536" s="2">
        <v>500000</v>
      </c>
      <c r="N536" s="2" t="s">
        <v>26</v>
      </c>
      <c r="O536" s="2">
        <v>12500000</v>
      </c>
      <c r="P536" s="1" t="s">
        <v>27</v>
      </c>
    </row>
    <row r="537" spans="1:16" outlineLevel="2">
      <c r="A537" s="1" t="s">
        <v>1011</v>
      </c>
      <c r="B537" s="1" t="s">
        <v>1012</v>
      </c>
      <c r="C537" s="1" t="s">
        <v>511</v>
      </c>
      <c r="D537" s="2">
        <v>12000000</v>
      </c>
      <c r="E537" s="1" t="s">
        <v>1014</v>
      </c>
      <c r="F537" s="3">
        <v>46219</v>
      </c>
      <c r="G537" s="4">
        <v>901047340</v>
      </c>
      <c r="H537" s="1" t="s">
        <v>407</v>
      </c>
      <c r="I537" s="1" t="s">
        <v>554</v>
      </c>
      <c r="J537" s="1" t="s">
        <v>23</v>
      </c>
      <c r="K537" s="2" t="s">
        <v>24</v>
      </c>
      <c r="L537" s="1" t="s">
        <v>931</v>
      </c>
      <c r="M537" s="2">
        <v>500000</v>
      </c>
      <c r="N537" s="2" t="s">
        <v>26</v>
      </c>
      <c r="O537" s="2">
        <v>13000000</v>
      </c>
      <c r="P537" s="1" t="s">
        <v>27</v>
      </c>
    </row>
    <row r="538" spans="1:16" outlineLevel="1">
      <c r="A538" s="13" t="s">
        <v>1452</v>
      </c>
      <c r="M538" s="2">
        <f>SUBTOTAL(9,M536:M537)</f>
        <v>1000000</v>
      </c>
      <c r="N538" s="2">
        <f>SUBTOTAL(9,N536:N537)</f>
        <v>0</v>
      </c>
    </row>
    <row r="539" spans="1:16" outlineLevel="2">
      <c r="A539" s="1" t="s">
        <v>1015</v>
      </c>
      <c r="B539" s="1" t="s">
        <v>1016</v>
      </c>
      <c r="C539" s="1" t="s">
        <v>1017</v>
      </c>
      <c r="D539" s="2">
        <v>660000</v>
      </c>
      <c r="E539" s="1" t="s">
        <v>1018</v>
      </c>
      <c r="F539" s="3">
        <v>46232</v>
      </c>
      <c r="G539" s="4">
        <v>1045684224</v>
      </c>
      <c r="H539" s="1" t="s">
        <v>447</v>
      </c>
      <c r="I539" s="1" t="s">
        <v>1019</v>
      </c>
      <c r="J539" s="1" t="s">
        <v>23</v>
      </c>
      <c r="K539" s="2" t="s">
        <v>24</v>
      </c>
      <c r="L539" s="1" t="s">
        <v>931</v>
      </c>
      <c r="M539" s="2">
        <v>755000</v>
      </c>
      <c r="N539" s="2" t="s">
        <v>26</v>
      </c>
      <c r="O539" s="2">
        <v>1415000</v>
      </c>
      <c r="P539" s="1" t="s">
        <v>27</v>
      </c>
    </row>
    <row r="540" spans="1:16" outlineLevel="2">
      <c r="A540" s="1" t="s">
        <v>1015</v>
      </c>
      <c r="B540" s="1" t="s">
        <v>1016</v>
      </c>
      <c r="C540" s="1" t="s">
        <v>1017</v>
      </c>
      <c r="D540" s="2">
        <v>660000</v>
      </c>
      <c r="E540" s="1" t="s">
        <v>1020</v>
      </c>
      <c r="F540" s="3">
        <v>46234</v>
      </c>
      <c r="G540" s="4">
        <v>1045684224</v>
      </c>
      <c r="H540" s="1" t="s">
        <v>447</v>
      </c>
      <c r="I540" s="1" t="s">
        <v>1021</v>
      </c>
      <c r="J540" s="1" t="s">
        <v>23</v>
      </c>
      <c r="K540" s="2" t="s">
        <v>24</v>
      </c>
      <c r="L540" s="1" t="s">
        <v>931</v>
      </c>
      <c r="M540" s="2" t="s">
        <v>26</v>
      </c>
      <c r="N540" s="2">
        <v>755000</v>
      </c>
      <c r="O540" s="2">
        <v>660000</v>
      </c>
      <c r="P540" s="1" t="s">
        <v>27</v>
      </c>
    </row>
    <row r="541" spans="1:16" outlineLevel="1">
      <c r="A541" s="13" t="s">
        <v>1453</v>
      </c>
      <c r="M541" s="2">
        <f>SUBTOTAL(9,M539:M540)</f>
        <v>755000</v>
      </c>
      <c r="N541" s="2">
        <f>SUBTOTAL(9,N539:N540)</f>
        <v>755000</v>
      </c>
    </row>
    <row r="542" spans="1:16" outlineLevel="2">
      <c r="A542" s="1" t="s">
        <v>1022</v>
      </c>
      <c r="B542" s="1" t="s">
        <v>1023</v>
      </c>
      <c r="C542" s="1" t="s">
        <v>1024</v>
      </c>
      <c r="D542" s="2">
        <v>4733000</v>
      </c>
      <c r="E542" s="1" t="s">
        <v>18</v>
      </c>
      <c r="F542" s="3" t="s">
        <v>19</v>
      </c>
      <c r="G542" s="4" t="s">
        <v>20</v>
      </c>
      <c r="H542" s="1" t="s">
        <v>21</v>
      </c>
      <c r="I542" s="1" t="s">
        <v>22</v>
      </c>
      <c r="J542" s="1" t="s">
        <v>23</v>
      </c>
      <c r="K542" s="2" t="s">
        <v>24</v>
      </c>
      <c r="L542" s="1" t="s">
        <v>25</v>
      </c>
      <c r="M542" s="2" t="s">
        <v>26</v>
      </c>
      <c r="N542" s="2" t="s">
        <v>26</v>
      </c>
      <c r="O542" s="2">
        <v>4733000</v>
      </c>
      <c r="P542" s="1" t="s">
        <v>27</v>
      </c>
    </row>
    <row r="543" spans="1:16" outlineLevel="1">
      <c r="A543" s="13" t="s">
        <v>1454</v>
      </c>
      <c r="M543" s="2">
        <f>SUBTOTAL(9,M542:M542)</f>
        <v>0</v>
      </c>
      <c r="N543" s="2">
        <f>SUBTOTAL(9,N542:N542)</f>
        <v>0</v>
      </c>
    </row>
    <row r="544" spans="1:16" outlineLevel="2">
      <c r="A544" s="1" t="s">
        <v>1025</v>
      </c>
      <c r="B544" s="1" t="s">
        <v>1026</v>
      </c>
      <c r="C544" s="1" t="s">
        <v>1027</v>
      </c>
      <c r="D544" s="2">
        <v>3134900</v>
      </c>
      <c r="E544" s="1" t="s">
        <v>18</v>
      </c>
      <c r="F544" s="3" t="s">
        <v>19</v>
      </c>
      <c r="G544" s="4" t="s">
        <v>20</v>
      </c>
      <c r="H544" s="1" t="s">
        <v>21</v>
      </c>
      <c r="I544" s="1" t="s">
        <v>22</v>
      </c>
      <c r="J544" s="1" t="s">
        <v>23</v>
      </c>
      <c r="K544" s="2" t="s">
        <v>24</v>
      </c>
      <c r="L544" s="1" t="s">
        <v>25</v>
      </c>
      <c r="M544" s="2" t="s">
        <v>26</v>
      </c>
      <c r="N544" s="2" t="s">
        <v>26</v>
      </c>
      <c r="O544" s="2">
        <v>3134900</v>
      </c>
      <c r="P544" s="1" t="s">
        <v>27</v>
      </c>
    </row>
    <row r="545" spans="1:16" outlineLevel="1">
      <c r="A545" s="13" t="s">
        <v>1455</v>
      </c>
      <c r="M545" s="2">
        <f>SUBTOTAL(9,M544:M544)</f>
        <v>0</v>
      </c>
      <c r="N545" s="2">
        <f>SUBTOTAL(9,N544:N544)</f>
        <v>0</v>
      </c>
    </row>
    <row r="546" spans="1:16" outlineLevel="2">
      <c r="A546" s="1" t="s">
        <v>1028</v>
      </c>
      <c r="B546" s="1" t="s">
        <v>1029</v>
      </c>
      <c r="C546" s="1" t="s">
        <v>1030</v>
      </c>
      <c r="D546" s="2">
        <v>2370434.9900000002</v>
      </c>
      <c r="E546" s="1" t="s">
        <v>18</v>
      </c>
      <c r="F546" s="3" t="s">
        <v>19</v>
      </c>
      <c r="G546" s="4" t="s">
        <v>20</v>
      </c>
      <c r="H546" s="1" t="s">
        <v>21</v>
      </c>
      <c r="I546" s="1" t="s">
        <v>22</v>
      </c>
      <c r="J546" s="1" t="s">
        <v>23</v>
      </c>
      <c r="K546" s="2" t="s">
        <v>24</v>
      </c>
      <c r="L546" s="1" t="s">
        <v>25</v>
      </c>
      <c r="M546" s="2" t="s">
        <v>26</v>
      </c>
      <c r="N546" s="2" t="s">
        <v>26</v>
      </c>
      <c r="O546" s="2">
        <v>2370434.9900000002</v>
      </c>
      <c r="P546" s="1" t="s">
        <v>27</v>
      </c>
    </row>
    <row r="547" spans="1:16" outlineLevel="1">
      <c r="A547" s="13" t="s">
        <v>1456</v>
      </c>
      <c r="M547" s="2">
        <f>SUBTOTAL(9,M546:M546)</f>
        <v>0</v>
      </c>
      <c r="N547" s="2">
        <f>SUBTOTAL(9,N546:N546)</f>
        <v>0</v>
      </c>
    </row>
    <row r="548" spans="1:16" outlineLevel="2">
      <c r="A548" s="1" t="s">
        <v>1031</v>
      </c>
      <c r="B548" s="1" t="s">
        <v>1032</v>
      </c>
      <c r="C548" s="1" t="s">
        <v>1033</v>
      </c>
      <c r="D548" s="2">
        <v>142000</v>
      </c>
      <c r="E548" s="1" t="s">
        <v>18</v>
      </c>
      <c r="F548" s="3" t="s">
        <v>19</v>
      </c>
      <c r="G548" s="4" t="s">
        <v>20</v>
      </c>
      <c r="H548" s="1" t="s">
        <v>21</v>
      </c>
      <c r="I548" s="1" t="s">
        <v>22</v>
      </c>
      <c r="J548" s="1" t="s">
        <v>23</v>
      </c>
      <c r="K548" s="2" t="s">
        <v>24</v>
      </c>
      <c r="L548" s="1" t="s">
        <v>25</v>
      </c>
      <c r="M548" s="2" t="s">
        <v>26</v>
      </c>
      <c r="N548" s="2" t="s">
        <v>26</v>
      </c>
      <c r="O548" s="2">
        <v>142000</v>
      </c>
      <c r="P548" s="1" t="s">
        <v>27</v>
      </c>
    </row>
    <row r="549" spans="1:16" outlineLevel="1">
      <c r="A549" s="13" t="s">
        <v>1457</v>
      </c>
      <c r="M549" s="2">
        <f>SUBTOTAL(9,M548:M548)</f>
        <v>0</v>
      </c>
      <c r="N549" s="2">
        <f>SUBTOTAL(9,N548:N548)</f>
        <v>0</v>
      </c>
    </row>
    <row r="550" spans="1:16" outlineLevel="2">
      <c r="A550" s="1" t="s">
        <v>1034</v>
      </c>
      <c r="B550" s="1" t="s">
        <v>1035</v>
      </c>
      <c r="C550" s="1" t="s">
        <v>1036</v>
      </c>
      <c r="D550" s="2">
        <v>1464281.04</v>
      </c>
      <c r="E550" s="1" t="s">
        <v>18</v>
      </c>
      <c r="F550" s="3" t="s">
        <v>19</v>
      </c>
      <c r="G550" s="4" t="s">
        <v>20</v>
      </c>
      <c r="H550" s="1" t="s">
        <v>21</v>
      </c>
      <c r="I550" s="1" t="s">
        <v>22</v>
      </c>
      <c r="J550" s="1" t="s">
        <v>23</v>
      </c>
      <c r="K550" s="2" t="s">
        <v>24</v>
      </c>
      <c r="L550" s="1" t="s">
        <v>25</v>
      </c>
      <c r="M550" s="2" t="s">
        <v>26</v>
      </c>
      <c r="N550" s="2" t="s">
        <v>26</v>
      </c>
      <c r="O550" s="2">
        <v>1464281.04</v>
      </c>
      <c r="P550" s="1" t="s">
        <v>27</v>
      </c>
    </row>
    <row r="551" spans="1:16" outlineLevel="1">
      <c r="A551" s="13" t="s">
        <v>1458</v>
      </c>
      <c r="M551" s="2">
        <f>SUBTOTAL(9,M550:M550)</f>
        <v>0</v>
      </c>
      <c r="N551" s="2">
        <f>SUBTOTAL(9,N550:N550)</f>
        <v>0</v>
      </c>
    </row>
    <row r="552" spans="1:16" outlineLevel="2">
      <c r="A552" s="1" t="s">
        <v>1037</v>
      </c>
      <c r="B552" s="1" t="s">
        <v>1038</v>
      </c>
      <c r="C552" s="1" t="s">
        <v>1039</v>
      </c>
      <c r="D552" s="2">
        <v>1464281.02</v>
      </c>
      <c r="E552" s="1" t="s">
        <v>18</v>
      </c>
      <c r="F552" s="3" t="s">
        <v>19</v>
      </c>
      <c r="G552" s="4" t="s">
        <v>20</v>
      </c>
      <c r="H552" s="1" t="s">
        <v>21</v>
      </c>
      <c r="I552" s="1" t="s">
        <v>22</v>
      </c>
      <c r="J552" s="1" t="s">
        <v>23</v>
      </c>
      <c r="K552" s="2" t="s">
        <v>24</v>
      </c>
      <c r="L552" s="1" t="s">
        <v>25</v>
      </c>
      <c r="M552" s="2" t="s">
        <v>26</v>
      </c>
      <c r="N552" s="2" t="s">
        <v>26</v>
      </c>
      <c r="O552" s="2">
        <v>1464281.02</v>
      </c>
      <c r="P552" s="1" t="s">
        <v>27</v>
      </c>
    </row>
    <row r="553" spans="1:16" outlineLevel="1">
      <c r="A553" s="13" t="s">
        <v>1459</v>
      </c>
      <c r="M553" s="2">
        <f>SUBTOTAL(9,M552:M552)</f>
        <v>0</v>
      </c>
      <c r="N553" s="2">
        <f>SUBTOTAL(9,N552:N552)</f>
        <v>0</v>
      </c>
    </row>
    <row r="554" spans="1:16" outlineLevel="2">
      <c r="A554" s="1" t="s">
        <v>1040</v>
      </c>
      <c r="B554" s="1" t="s">
        <v>1041</v>
      </c>
      <c r="C554" s="1" t="s">
        <v>1042</v>
      </c>
      <c r="D554" s="2">
        <v>707193</v>
      </c>
      <c r="E554" s="1" t="s">
        <v>18</v>
      </c>
      <c r="F554" s="3" t="s">
        <v>19</v>
      </c>
      <c r="G554" s="4" t="s">
        <v>20</v>
      </c>
      <c r="H554" s="1" t="s">
        <v>21</v>
      </c>
      <c r="I554" s="1" t="s">
        <v>22</v>
      </c>
      <c r="J554" s="1" t="s">
        <v>23</v>
      </c>
      <c r="K554" s="2" t="s">
        <v>24</v>
      </c>
      <c r="L554" s="1" t="s">
        <v>25</v>
      </c>
      <c r="M554" s="2" t="s">
        <v>26</v>
      </c>
      <c r="N554" s="2" t="s">
        <v>26</v>
      </c>
      <c r="O554" s="2">
        <v>707193</v>
      </c>
      <c r="P554" s="1" t="s">
        <v>27</v>
      </c>
    </row>
    <row r="555" spans="1:16" outlineLevel="1">
      <c r="A555" s="13" t="s">
        <v>1460</v>
      </c>
      <c r="M555" s="2">
        <f>SUBTOTAL(9,M554:M554)</f>
        <v>0</v>
      </c>
      <c r="N555" s="2">
        <f>SUBTOTAL(9,N554:N554)</f>
        <v>0</v>
      </c>
    </row>
    <row r="556" spans="1:16" outlineLevel="2">
      <c r="A556" s="1" t="s">
        <v>1043</v>
      </c>
      <c r="B556" s="1" t="s">
        <v>1044</v>
      </c>
      <c r="C556" s="1" t="s">
        <v>1045</v>
      </c>
      <c r="D556" s="2">
        <v>946600</v>
      </c>
      <c r="E556" s="1" t="s">
        <v>18</v>
      </c>
      <c r="F556" s="3" t="s">
        <v>19</v>
      </c>
      <c r="G556" s="4" t="s">
        <v>20</v>
      </c>
      <c r="H556" s="1" t="s">
        <v>21</v>
      </c>
      <c r="I556" s="1" t="s">
        <v>22</v>
      </c>
      <c r="J556" s="1" t="s">
        <v>23</v>
      </c>
      <c r="K556" s="2" t="s">
        <v>24</v>
      </c>
      <c r="L556" s="1" t="s">
        <v>25</v>
      </c>
      <c r="M556" s="2" t="s">
        <v>26</v>
      </c>
      <c r="N556" s="2" t="s">
        <v>26</v>
      </c>
      <c r="O556" s="2">
        <v>946600</v>
      </c>
      <c r="P556" s="1" t="s">
        <v>27</v>
      </c>
    </row>
    <row r="557" spans="1:16" outlineLevel="1">
      <c r="A557" s="13" t="s">
        <v>1461</v>
      </c>
      <c r="M557" s="2">
        <f>SUBTOTAL(9,M556:M556)</f>
        <v>0</v>
      </c>
      <c r="N557" s="2">
        <f>SUBTOTAL(9,N556:N556)</f>
        <v>0</v>
      </c>
    </row>
    <row r="558" spans="1:16" outlineLevel="2">
      <c r="A558" s="1" t="s">
        <v>1046</v>
      </c>
      <c r="B558" s="1" t="s">
        <v>1047</v>
      </c>
      <c r="C558" s="1" t="s">
        <v>1048</v>
      </c>
      <c r="D558" s="2">
        <v>3374700</v>
      </c>
      <c r="E558" s="1" t="s">
        <v>18</v>
      </c>
      <c r="F558" s="3" t="s">
        <v>19</v>
      </c>
      <c r="G558" s="4" t="s">
        <v>20</v>
      </c>
      <c r="H558" s="1" t="s">
        <v>21</v>
      </c>
      <c r="I558" s="1" t="s">
        <v>22</v>
      </c>
      <c r="J558" s="1" t="s">
        <v>23</v>
      </c>
      <c r="K558" s="2" t="s">
        <v>24</v>
      </c>
      <c r="L558" s="1" t="s">
        <v>25</v>
      </c>
      <c r="M558" s="2" t="s">
        <v>26</v>
      </c>
      <c r="N558" s="2" t="s">
        <v>26</v>
      </c>
      <c r="O558" s="2">
        <v>3374700</v>
      </c>
      <c r="P558" s="1" t="s">
        <v>27</v>
      </c>
    </row>
    <row r="559" spans="1:16" outlineLevel="1">
      <c r="A559" s="13" t="s">
        <v>1462</v>
      </c>
      <c r="M559" s="2">
        <f>SUBTOTAL(9,M558:M558)</f>
        <v>0</v>
      </c>
      <c r="N559" s="2">
        <f>SUBTOTAL(9,N558:N558)</f>
        <v>0</v>
      </c>
    </row>
    <row r="560" spans="1:16" outlineLevel="2">
      <c r="A560" s="1" t="s">
        <v>1049</v>
      </c>
      <c r="B560" s="1" t="s">
        <v>1050</v>
      </c>
      <c r="C560" s="1" t="s">
        <v>511</v>
      </c>
      <c r="D560" s="2">
        <v>505100</v>
      </c>
      <c r="E560" s="1" t="s">
        <v>18</v>
      </c>
      <c r="F560" s="3" t="s">
        <v>19</v>
      </c>
      <c r="G560" s="4" t="s">
        <v>20</v>
      </c>
      <c r="H560" s="1" t="s">
        <v>21</v>
      </c>
      <c r="I560" s="1" t="s">
        <v>22</v>
      </c>
      <c r="J560" s="1" t="s">
        <v>23</v>
      </c>
      <c r="K560" s="2" t="s">
        <v>24</v>
      </c>
      <c r="L560" s="1" t="s">
        <v>25</v>
      </c>
      <c r="M560" s="2" t="s">
        <v>26</v>
      </c>
      <c r="N560" s="2" t="s">
        <v>26</v>
      </c>
      <c r="O560" s="2">
        <v>505100</v>
      </c>
      <c r="P560" s="1" t="s">
        <v>27</v>
      </c>
    </row>
    <row r="561" spans="1:16" outlineLevel="1">
      <c r="A561" s="13" t="s">
        <v>1463</v>
      </c>
      <c r="M561" s="2">
        <f>SUBTOTAL(9,M560:M560)</f>
        <v>0</v>
      </c>
      <c r="N561" s="2">
        <f>SUBTOTAL(9,N560:N560)</f>
        <v>0</v>
      </c>
    </row>
    <row r="562" spans="1:16" outlineLevel="2">
      <c r="A562" s="1" t="s">
        <v>1051</v>
      </c>
      <c r="B562" s="1" t="s">
        <v>1052</v>
      </c>
      <c r="C562" s="1" t="s">
        <v>1053</v>
      </c>
      <c r="D562" s="2">
        <v>0</v>
      </c>
      <c r="E562" s="1" t="s">
        <v>1054</v>
      </c>
      <c r="F562" s="3">
        <v>46233</v>
      </c>
      <c r="G562" s="4">
        <v>72257318</v>
      </c>
      <c r="H562" s="1" t="s">
        <v>204</v>
      </c>
      <c r="I562" s="1" t="s">
        <v>1055</v>
      </c>
      <c r="J562" s="1" t="s">
        <v>23</v>
      </c>
      <c r="K562" s="2" t="s">
        <v>24</v>
      </c>
      <c r="L562" s="1" t="s">
        <v>931</v>
      </c>
      <c r="M562" s="2">
        <v>89000</v>
      </c>
      <c r="N562" s="2" t="s">
        <v>26</v>
      </c>
      <c r="O562" s="2">
        <v>89000</v>
      </c>
      <c r="P562" s="1" t="s">
        <v>27</v>
      </c>
    </row>
    <row r="563" spans="1:16" outlineLevel="1">
      <c r="A563" s="13" t="s">
        <v>1464</v>
      </c>
      <c r="M563" s="2">
        <f>SUBTOTAL(9,M562:M562)</f>
        <v>89000</v>
      </c>
      <c r="N563" s="2">
        <f>SUBTOTAL(9,N562:N562)</f>
        <v>0</v>
      </c>
    </row>
    <row r="564" spans="1:16" outlineLevel="2">
      <c r="A564" s="1" t="s">
        <v>1056</v>
      </c>
      <c r="B564" s="1" t="s">
        <v>1057</v>
      </c>
      <c r="C564" s="1" t="s">
        <v>1058</v>
      </c>
      <c r="D564" s="2">
        <v>124783.83</v>
      </c>
      <c r="E564" s="1" t="s">
        <v>18</v>
      </c>
      <c r="F564" s="3" t="s">
        <v>19</v>
      </c>
      <c r="G564" s="4" t="s">
        <v>20</v>
      </c>
      <c r="H564" s="1" t="s">
        <v>21</v>
      </c>
      <c r="I564" s="1" t="s">
        <v>22</v>
      </c>
      <c r="J564" s="1" t="s">
        <v>23</v>
      </c>
      <c r="K564" s="2" t="s">
        <v>24</v>
      </c>
      <c r="L564" s="1" t="s">
        <v>25</v>
      </c>
      <c r="M564" s="2" t="s">
        <v>26</v>
      </c>
      <c r="N564" s="2" t="s">
        <v>26</v>
      </c>
      <c r="O564" s="2">
        <v>124783.83</v>
      </c>
      <c r="P564" s="1" t="s">
        <v>27</v>
      </c>
    </row>
    <row r="565" spans="1:16" outlineLevel="1">
      <c r="A565" s="13" t="s">
        <v>1465</v>
      </c>
      <c r="M565" s="2">
        <f>SUBTOTAL(9,M564:M564)</f>
        <v>0</v>
      </c>
      <c r="N565" s="2">
        <f>SUBTOTAL(9,N564:N564)</f>
        <v>0</v>
      </c>
    </row>
    <row r="566" spans="1:16" outlineLevel="2">
      <c r="A566" s="1" t="s">
        <v>1059</v>
      </c>
      <c r="B566" s="1" t="s">
        <v>1060</v>
      </c>
      <c r="C566" s="1" t="s">
        <v>1061</v>
      </c>
      <c r="D566" s="2">
        <v>18700</v>
      </c>
      <c r="E566" s="1" t="s">
        <v>18</v>
      </c>
      <c r="F566" s="3" t="s">
        <v>19</v>
      </c>
      <c r="G566" s="4" t="s">
        <v>20</v>
      </c>
      <c r="H566" s="1" t="s">
        <v>21</v>
      </c>
      <c r="I566" s="1" t="s">
        <v>22</v>
      </c>
      <c r="J566" s="1" t="s">
        <v>23</v>
      </c>
      <c r="K566" s="2" t="s">
        <v>24</v>
      </c>
      <c r="L566" s="1" t="s">
        <v>25</v>
      </c>
      <c r="M566" s="2" t="s">
        <v>26</v>
      </c>
      <c r="N566" s="2" t="s">
        <v>26</v>
      </c>
      <c r="O566" s="2">
        <v>18700</v>
      </c>
      <c r="P566" s="1" t="s">
        <v>27</v>
      </c>
    </row>
    <row r="567" spans="1:16" outlineLevel="1">
      <c r="A567" s="13" t="s">
        <v>1466</v>
      </c>
      <c r="M567" s="2">
        <f>SUBTOTAL(9,M566:M566)</f>
        <v>0</v>
      </c>
      <c r="N567" s="2">
        <f>SUBTOTAL(9,N566:N566)</f>
        <v>0</v>
      </c>
    </row>
    <row r="568" spans="1:16" outlineLevel="2">
      <c r="A568" s="1" t="s">
        <v>1062</v>
      </c>
      <c r="B568" s="1" t="s">
        <v>1063</v>
      </c>
      <c r="C568" s="1" t="s">
        <v>511</v>
      </c>
      <c r="D568" s="2">
        <v>24000</v>
      </c>
      <c r="E568" s="1" t="s">
        <v>18</v>
      </c>
      <c r="F568" s="3" t="s">
        <v>19</v>
      </c>
      <c r="G568" s="4" t="s">
        <v>20</v>
      </c>
      <c r="H568" s="1" t="s">
        <v>21</v>
      </c>
      <c r="I568" s="1" t="s">
        <v>22</v>
      </c>
      <c r="J568" s="1" t="s">
        <v>23</v>
      </c>
      <c r="K568" s="2" t="s">
        <v>24</v>
      </c>
      <c r="L568" s="1" t="s">
        <v>25</v>
      </c>
      <c r="M568" s="2" t="s">
        <v>26</v>
      </c>
      <c r="N568" s="2" t="s">
        <v>26</v>
      </c>
      <c r="O568" s="2">
        <v>24000</v>
      </c>
      <c r="P568" s="1" t="s">
        <v>27</v>
      </c>
    </row>
    <row r="569" spans="1:16" outlineLevel="1">
      <c r="A569" s="13" t="s">
        <v>1467</v>
      </c>
      <c r="M569" s="2">
        <f>SUBTOTAL(9,M568:M568)</f>
        <v>0</v>
      </c>
      <c r="N569" s="2">
        <f>SUBTOTAL(9,N568:N568)</f>
        <v>0</v>
      </c>
    </row>
    <row r="570" spans="1:16" outlineLevel="2">
      <c r="A570" s="1" t="s">
        <v>1064</v>
      </c>
      <c r="B570" s="1" t="s">
        <v>1065</v>
      </c>
      <c r="C570" s="1" t="s">
        <v>1066</v>
      </c>
      <c r="D570" s="2">
        <v>147924.98000000001</v>
      </c>
      <c r="E570" s="1" t="s">
        <v>1067</v>
      </c>
      <c r="F570" s="3">
        <v>46219</v>
      </c>
      <c r="G570" s="4">
        <v>901075452</v>
      </c>
      <c r="H570" s="1" t="s">
        <v>593</v>
      </c>
      <c r="I570" s="1" t="s">
        <v>594</v>
      </c>
      <c r="J570" s="1" t="s">
        <v>23</v>
      </c>
      <c r="K570" s="2" t="s">
        <v>24</v>
      </c>
      <c r="L570" s="1" t="s">
        <v>931</v>
      </c>
      <c r="M570" s="2">
        <v>50</v>
      </c>
      <c r="N570" s="2" t="s">
        <v>26</v>
      </c>
      <c r="O570" s="2">
        <v>147974.98000000001</v>
      </c>
      <c r="P570" s="1" t="s">
        <v>27</v>
      </c>
    </row>
    <row r="571" spans="1:16" outlineLevel="2">
      <c r="A571" s="1" t="s">
        <v>1064</v>
      </c>
      <c r="B571" s="1" t="s">
        <v>1065</v>
      </c>
      <c r="C571" s="1" t="s">
        <v>1066</v>
      </c>
      <c r="D571" s="2">
        <v>147924.98000000001</v>
      </c>
      <c r="E571" s="1" t="s">
        <v>1068</v>
      </c>
      <c r="F571" s="3">
        <v>46233</v>
      </c>
      <c r="G571" s="4">
        <v>900309367</v>
      </c>
      <c r="H571" s="1" t="s">
        <v>457</v>
      </c>
      <c r="I571" s="1" t="s">
        <v>458</v>
      </c>
      <c r="J571" s="1" t="s">
        <v>23</v>
      </c>
      <c r="K571" s="2" t="s">
        <v>24</v>
      </c>
      <c r="L571" s="1" t="s">
        <v>931</v>
      </c>
      <c r="M571" s="2">
        <v>150.01</v>
      </c>
      <c r="N571" s="2" t="s">
        <v>26</v>
      </c>
      <c r="O571" s="2">
        <v>148124.99</v>
      </c>
      <c r="P571" s="1" t="s">
        <v>27</v>
      </c>
    </row>
    <row r="572" spans="1:16" outlineLevel="2">
      <c r="A572" s="1" t="s">
        <v>1064</v>
      </c>
      <c r="B572" s="1" t="s">
        <v>1065</v>
      </c>
      <c r="C572" s="1" t="s">
        <v>1066</v>
      </c>
      <c r="D572" s="2">
        <v>147924.98000000001</v>
      </c>
      <c r="E572" s="1" t="s">
        <v>1069</v>
      </c>
      <c r="F572" s="3">
        <v>46233</v>
      </c>
      <c r="G572" s="4">
        <v>802017066</v>
      </c>
      <c r="H572" s="1" t="s">
        <v>596</v>
      </c>
      <c r="I572" s="1" t="s">
        <v>597</v>
      </c>
      <c r="J572" s="1" t="s">
        <v>23</v>
      </c>
      <c r="K572" s="2" t="s">
        <v>24</v>
      </c>
      <c r="L572" s="1" t="s">
        <v>931</v>
      </c>
      <c r="M572" s="2">
        <v>100</v>
      </c>
      <c r="N572" s="2" t="s">
        <v>26</v>
      </c>
      <c r="O572" s="2">
        <v>148224.99</v>
      </c>
      <c r="P572" s="1" t="s">
        <v>27</v>
      </c>
    </row>
    <row r="573" spans="1:16" outlineLevel="2">
      <c r="A573" s="1" t="s">
        <v>1064</v>
      </c>
      <c r="B573" s="1" t="s">
        <v>1065</v>
      </c>
      <c r="C573" s="1" t="s">
        <v>1066</v>
      </c>
      <c r="D573" s="2">
        <v>147924.98000000001</v>
      </c>
      <c r="E573" s="1" t="s">
        <v>1070</v>
      </c>
      <c r="F573" s="3">
        <v>46233</v>
      </c>
      <c r="G573" s="4">
        <v>901075452</v>
      </c>
      <c r="H573" s="1" t="s">
        <v>593</v>
      </c>
      <c r="I573" s="1" t="s">
        <v>599</v>
      </c>
      <c r="J573" s="1" t="s">
        <v>23</v>
      </c>
      <c r="K573" s="2" t="s">
        <v>24</v>
      </c>
      <c r="L573" s="1" t="s">
        <v>931</v>
      </c>
      <c r="M573" s="2">
        <v>100</v>
      </c>
      <c r="N573" s="2" t="s">
        <v>26</v>
      </c>
      <c r="O573" s="2">
        <v>148324.99</v>
      </c>
      <c r="P573" s="1" t="s">
        <v>27</v>
      </c>
    </row>
    <row r="574" spans="1:16" outlineLevel="2">
      <c r="A574" s="1" t="s">
        <v>1064</v>
      </c>
      <c r="B574" s="1" t="s">
        <v>1065</v>
      </c>
      <c r="C574" s="1" t="s">
        <v>1066</v>
      </c>
      <c r="D574" s="2">
        <v>147924.98000000001</v>
      </c>
      <c r="E574" s="1" t="s">
        <v>1071</v>
      </c>
      <c r="F574" s="3">
        <v>46233</v>
      </c>
      <c r="G574" s="4">
        <v>901075452</v>
      </c>
      <c r="H574" s="1" t="s">
        <v>593</v>
      </c>
      <c r="I574" s="1" t="s">
        <v>601</v>
      </c>
      <c r="J574" s="1" t="s">
        <v>23</v>
      </c>
      <c r="K574" s="2" t="s">
        <v>24</v>
      </c>
      <c r="L574" s="1" t="s">
        <v>931</v>
      </c>
      <c r="M574" s="2">
        <v>120</v>
      </c>
      <c r="N574" s="2" t="s">
        <v>26</v>
      </c>
      <c r="O574" s="2">
        <v>148444.99</v>
      </c>
      <c r="P574" s="1" t="s">
        <v>27</v>
      </c>
    </row>
    <row r="575" spans="1:16" outlineLevel="2">
      <c r="A575" s="1" t="s">
        <v>1064</v>
      </c>
      <c r="B575" s="1" t="s">
        <v>1065</v>
      </c>
      <c r="C575" s="1" t="s">
        <v>1066</v>
      </c>
      <c r="D575" s="2">
        <v>147924.98000000001</v>
      </c>
      <c r="E575" s="1" t="s">
        <v>1072</v>
      </c>
      <c r="F575" s="3">
        <v>46233</v>
      </c>
      <c r="G575" s="4">
        <v>901075452</v>
      </c>
      <c r="H575" s="1" t="s">
        <v>593</v>
      </c>
      <c r="I575" s="1" t="s">
        <v>603</v>
      </c>
      <c r="J575" s="1" t="s">
        <v>23</v>
      </c>
      <c r="K575" s="2" t="s">
        <v>24</v>
      </c>
      <c r="L575" s="1" t="s">
        <v>931</v>
      </c>
      <c r="M575" s="2">
        <v>100</v>
      </c>
      <c r="N575" s="2" t="s">
        <v>26</v>
      </c>
      <c r="O575" s="2">
        <v>148544.99</v>
      </c>
      <c r="P575" s="1" t="s">
        <v>27</v>
      </c>
    </row>
    <row r="576" spans="1:16" outlineLevel="2">
      <c r="A576" s="1" t="s">
        <v>1064</v>
      </c>
      <c r="B576" s="1" t="s">
        <v>1065</v>
      </c>
      <c r="C576" s="1" t="s">
        <v>1066</v>
      </c>
      <c r="D576" s="2">
        <v>147924.98000000001</v>
      </c>
      <c r="E576" s="1" t="s">
        <v>1073</v>
      </c>
      <c r="F576" s="3">
        <v>46233</v>
      </c>
      <c r="G576" s="4">
        <v>901075452</v>
      </c>
      <c r="H576" s="1" t="s">
        <v>593</v>
      </c>
      <c r="I576" s="1" t="s">
        <v>605</v>
      </c>
      <c r="J576" s="1" t="s">
        <v>23</v>
      </c>
      <c r="K576" s="2" t="s">
        <v>24</v>
      </c>
      <c r="L576" s="1" t="s">
        <v>931</v>
      </c>
      <c r="M576" s="2">
        <v>50</v>
      </c>
      <c r="N576" s="2" t="s">
        <v>26</v>
      </c>
      <c r="O576" s="2">
        <v>148594.99</v>
      </c>
      <c r="P576" s="1" t="s">
        <v>27</v>
      </c>
    </row>
    <row r="577" spans="1:16" outlineLevel="2">
      <c r="A577" s="1" t="s">
        <v>1064</v>
      </c>
      <c r="B577" s="1" t="s">
        <v>1065</v>
      </c>
      <c r="C577" s="1" t="s">
        <v>1066</v>
      </c>
      <c r="D577" s="2">
        <v>147924.98000000001</v>
      </c>
      <c r="E577" s="1" t="s">
        <v>1074</v>
      </c>
      <c r="F577" s="3">
        <v>46233</v>
      </c>
      <c r="G577" s="4">
        <v>901075452</v>
      </c>
      <c r="H577" s="1" t="s">
        <v>593</v>
      </c>
      <c r="I577" s="1" t="s">
        <v>607</v>
      </c>
      <c r="J577" s="1" t="s">
        <v>23</v>
      </c>
      <c r="K577" s="2" t="s">
        <v>24</v>
      </c>
      <c r="L577" s="1" t="s">
        <v>931</v>
      </c>
      <c r="M577" s="2">
        <v>79.2</v>
      </c>
      <c r="N577" s="2" t="s">
        <v>26</v>
      </c>
      <c r="O577" s="2">
        <v>148674.19</v>
      </c>
      <c r="P577" s="1" t="s">
        <v>27</v>
      </c>
    </row>
    <row r="578" spans="1:16" outlineLevel="2">
      <c r="A578" s="1" t="s">
        <v>1064</v>
      </c>
      <c r="B578" s="1" t="s">
        <v>1065</v>
      </c>
      <c r="C578" s="1" t="s">
        <v>1066</v>
      </c>
      <c r="D578" s="2">
        <v>147924.98000000001</v>
      </c>
      <c r="E578" s="1" t="s">
        <v>1075</v>
      </c>
      <c r="F578" s="3">
        <v>46233</v>
      </c>
      <c r="G578" s="4">
        <v>802017066</v>
      </c>
      <c r="H578" s="1" t="s">
        <v>596</v>
      </c>
      <c r="I578" s="1" t="s">
        <v>609</v>
      </c>
      <c r="J578" s="1" t="s">
        <v>23</v>
      </c>
      <c r="K578" s="2" t="s">
        <v>24</v>
      </c>
      <c r="L578" s="1" t="s">
        <v>931</v>
      </c>
      <c r="M578" s="2">
        <v>100</v>
      </c>
      <c r="N578" s="2" t="s">
        <v>26</v>
      </c>
      <c r="O578" s="2">
        <v>148774.19</v>
      </c>
      <c r="P578" s="1" t="s">
        <v>27</v>
      </c>
    </row>
    <row r="579" spans="1:16" outlineLevel="2">
      <c r="A579" s="1" t="s">
        <v>1064</v>
      </c>
      <c r="B579" s="1" t="s">
        <v>1065</v>
      </c>
      <c r="C579" s="1" t="s">
        <v>1066</v>
      </c>
      <c r="D579" s="2">
        <v>147924.98000000001</v>
      </c>
      <c r="E579" s="1" t="s">
        <v>1076</v>
      </c>
      <c r="F579" s="3">
        <v>46233</v>
      </c>
      <c r="G579" s="4">
        <v>901075452</v>
      </c>
      <c r="H579" s="1" t="s">
        <v>593</v>
      </c>
      <c r="I579" s="1" t="s">
        <v>611</v>
      </c>
      <c r="J579" s="1" t="s">
        <v>23</v>
      </c>
      <c r="K579" s="2" t="s">
        <v>24</v>
      </c>
      <c r="L579" s="1" t="s">
        <v>931</v>
      </c>
      <c r="M579" s="2">
        <v>100</v>
      </c>
      <c r="N579" s="2" t="s">
        <v>26</v>
      </c>
      <c r="O579" s="2">
        <v>148874.19</v>
      </c>
      <c r="P579" s="1" t="s">
        <v>27</v>
      </c>
    </row>
    <row r="580" spans="1:16" outlineLevel="2">
      <c r="A580" s="1" t="s">
        <v>1064</v>
      </c>
      <c r="B580" s="1" t="s">
        <v>1065</v>
      </c>
      <c r="C580" s="1" t="s">
        <v>1066</v>
      </c>
      <c r="D580" s="2">
        <v>147924.98000000001</v>
      </c>
      <c r="E580" s="1" t="s">
        <v>1077</v>
      </c>
      <c r="F580" s="3">
        <v>46233</v>
      </c>
      <c r="G580" s="4">
        <v>900021337</v>
      </c>
      <c r="H580" s="1" t="s">
        <v>613</v>
      </c>
      <c r="I580" s="1" t="s">
        <v>614</v>
      </c>
      <c r="J580" s="1" t="s">
        <v>23</v>
      </c>
      <c r="K580" s="2" t="s">
        <v>24</v>
      </c>
      <c r="L580" s="1" t="s">
        <v>931</v>
      </c>
      <c r="M580" s="2">
        <v>15.79</v>
      </c>
      <c r="N580" s="2" t="s">
        <v>26</v>
      </c>
      <c r="O580" s="2">
        <v>148889.98000000001</v>
      </c>
      <c r="P580" s="1" t="s">
        <v>27</v>
      </c>
    </row>
    <row r="581" spans="1:16" outlineLevel="2">
      <c r="A581" s="1" t="s">
        <v>1064</v>
      </c>
      <c r="B581" s="1" t="s">
        <v>1065</v>
      </c>
      <c r="C581" s="1" t="s">
        <v>1066</v>
      </c>
      <c r="D581" s="2">
        <v>147924.98000000001</v>
      </c>
      <c r="E581" s="1" t="s">
        <v>1078</v>
      </c>
      <c r="F581" s="3">
        <v>46233</v>
      </c>
      <c r="G581" s="4">
        <v>901075452</v>
      </c>
      <c r="H581" s="1" t="s">
        <v>593</v>
      </c>
      <c r="I581" s="1" t="s">
        <v>616</v>
      </c>
      <c r="J581" s="1" t="s">
        <v>23</v>
      </c>
      <c r="K581" s="2" t="s">
        <v>24</v>
      </c>
      <c r="L581" s="1" t="s">
        <v>931</v>
      </c>
      <c r="M581" s="2">
        <v>100</v>
      </c>
      <c r="N581" s="2" t="s">
        <v>26</v>
      </c>
      <c r="O581" s="2">
        <v>148989.98000000001</v>
      </c>
      <c r="P581" s="1" t="s">
        <v>27</v>
      </c>
    </row>
    <row r="582" spans="1:16" outlineLevel="2">
      <c r="A582" s="1" t="s">
        <v>1064</v>
      </c>
      <c r="B582" s="1" t="s">
        <v>1065</v>
      </c>
      <c r="C582" s="1" t="s">
        <v>1066</v>
      </c>
      <c r="D582" s="2">
        <v>147924.98000000001</v>
      </c>
      <c r="E582" s="1" t="s">
        <v>1079</v>
      </c>
      <c r="F582" s="3">
        <v>46233</v>
      </c>
      <c r="G582" s="4">
        <v>32785411</v>
      </c>
      <c r="H582" s="1" t="s">
        <v>479</v>
      </c>
      <c r="I582" s="1" t="s">
        <v>480</v>
      </c>
      <c r="J582" s="1" t="s">
        <v>23</v>
      </c>
      <c r="K582" s="2" t="s">
        <v>24</v>
      </c>
      <c r="L582" s="1" t="s">
        <v>931</v>
      </c>
      <c r="M582" s="2">
        <v>9000</v>
      </c>
      <c r="N582" s="2" t="s">
        <v>26</v>
      </c>
      <c r="O582" s="2">
        <v>157989.98000000001</v>
      </c>
      <c r="P582" s="1" t="s">
        <v>27</v>
      </c>
    </row>
    <row r="583" spans="1:16" outlineLevel="2">
      <c r="A583" s="1" t="s">
        <v>1064</v>
      </c>
      <c r="B583" s="1" t="s">
        <v>1065</v>
      </c>
      <c r="C583" s="1" t="s">
        <v>1066</v>
      </c>
      <c r="D583" s="2">
        <v>147924.98000000001</v>
      </c>
      <c r="E583" s="1" t="s">
        <v>1080</v>
      </c>
      <c r="F583" s="3">
        <v>46234</v>
      </c>
      <c r="G583" s="4">
        <v>802017066</v>
      </c>
      <c r="H583" s="1" t="s">
        <v>596</v>
      </c>
      <c r="I583" s="1" t="s">
        <v>618</v>
      </c>
      <c r="J583" s="1" t="s">
        <v>23</v>
      </c>
      <c r="K583" s="2" t="s">
        <v>24</v>
      </c>
      <c r="L583" s="1" t="s">
        <v>931</v>
      </c>
      <c r="M583" s="2">
        <v>100</v>
      </c>
      <c r="N583" s="2" t="s">
        <v>26</v>
      </c>
      <c r="O583" s="2">
        <v>158089.98000000001</v>
      </c>
      <c r="P583" s="1" t="s">
        <v>27</v>
      </c>
    </row>
    <row r="584" spans="1:16" outlineLevel="2">
      <c r="A584" s="1" t="s">
        <v>1064</v>
      </c>
      <c r="B584" s="1" t="s">
        <v>1065</v>
      </c>
      <c r="C584" s="1" t="s">
        <v>1066</v>
      </c>
      <c r="D584" s="2">
        <v>147924.98000000001</v>
      </c>
      <c r="E584" s="1" t="s">
        <v>1081</v>
      </c>
      <c r="F584" s="3">
        <v>46234</v>
      </c>
      <c r="G584" s="4">
        <v>802017066</v>
      </c>
      <c r="H584" s="1" t="s">
        <v>596</v>
      </c>
      <c r="I584" s="1" t="s">
        <v>618</v>
      </c>
      <c r="J584" s="1" t="s">
        <v>23</v>
      </c>
      <c r="K584" s="2" t="s">
        <v>24</v>
      </c>
      <c r="L584" s="1" t="s">
        <v>931</v>
      </c>
      <c r="M584" s="2">
        <v>1000</v>
      </c>
      <c r="N584" s="2" t="s">
        <v>26</v>
      </c>
      <c r="O584" s="2">
        <v>159089.98000000001</v>
      </c>
      <c r="P584" s="1" t="s">
        <v>27</v>
      </c>
    </row>
    <row r="585" spans="1:16" outlineLevel="2">
      <c r="A585" s="1" t="s">
        <v>1064</v>
      </c>
      <c r="B585" s="1" t="s">
        <v>1065</v>
      </c>
      <c r="C585" s="1" t="s">
        <v>1066</v>
      </c>
      <c r="D585" s="2">
        <v>147924.98000000001</v>
      </c>
      <c r="E585" s="1" t="s">
        <v>1082</v>
      </c>
      <c r="F585" s="3">
        <v>46234</v>
      </c>
      <c r="G585" s="4">
        <v>901075452</v>
      </c>
      <c r="H585" s="1" t="s">
        <v>593</v>
      </c>
      <c r="I585" s="1" t="s">
        <v>620</v>
      </c>
      <c r="J585" s="1" t="s">
        <v>23</v>
      </c>
      <c r="K585" s="2" t="s">
        <v>24</v>
      </c>
      <c r="L585" s="1" t="s">
        <v>931</v>
      </c>
      <c r="M585" s="2">
        <v>100</v>
      </c>
      <c r="N585" s="2" t="s">
        <v>26</v>
      </c>
      <c r="O585" s="2">
        <v>159189.98000000001</v>
      </c>
      <c r="P585" s="1" t="s">
        <v>27</v>
      </c>
    </row>
    <row r="586" spans="1:16" outlineLevel="2">
      <c r="A586" s="1" t="s">
        <v>1064</v>
      </c>
      <c r="B586" s="1" t="s">
        <v>1065</v>
      </c>
      <c r="C586" s="1" t="s">
        <v>1066</v>
      </c>
      <c r="D586" s="2">
        <v>147924.98000000001</v>
      </c>
      <c r="E586" s="1" t="s">
        <v>1083</v>
      </c>
      <c r="F586" s="3">
        <v>46234</v>
      </c>
      <c r="G586" s="4">
        <v>901075452</v>
      </c>
      <c r="H586" s="1" t="s">
        <v>593</v>
      </c>
      <c r="I586" s="1" t="s">
        <v>622</v>
      </c>
      <c r="J586" s="1" t="s">
        <v>23</v>
      </c>
      <c r="K586" s="2" t="s">
        <v>24</v>
      </c>
      <c r="L586" s="1" t="s">
        <v>931</v>
      </c>
      <c r="M586" s="2">
        <v>100</v>
      </c>
      <c r="N586" s="2" t="s">
        <v>26</v>
      </c>
      <c r="O586" s="2">
        <v>159289.98000000001</v>
      </c>
      <c r="P586" s="1" t="s">
        <v>27</v>
      </c>
    </row>
    <row r="587" spans="1:16" outlineLevel="2">
      <c r="A587" s="1" t="s">
        <v>1064</v>
      </c>
      <c r="B587" s="1" t="s">
        <v>1065</v>
      </c>
      <c r="C587" s="1" t="s">
        <v>1066</v>
      </c>
      <c r="D587" s="2">
        <v>147924.98000000001</v>
      </c>
      <c r="E587" s="1" t="s">
        <v>1084</v>
      </c>
      <c r="F587" s="3">
        <v>46234</v>
      </c>
      <c r="G587" s="4">
        <v>901075452</v>
      </c>
      <c r="H587" s="1" t="s">
        <v>593</v>
      </c>
      <c r="I587" s="1" t="s">
        <v>624</v>
      </c>
      <c r="J587" s="1" t="s">
        <v>23</v>
      </c>
      <c r="K587" s="2" t="s">
        <v>24</v>
      </c>
      <c r="L587" s="1" t="s">
        <v>931</v>
      </c>
      <c r="M587" s="2">
        <v>100</v>
      </c>
      <c r="N587" s="2" t="s">
        <v>26</v>
      </c>
      <c r="O587" s="2">
        <v>159389.98000000001</v>
      </c>
      <c r="P587" s="1" t="s">
        <v>27</v>
      </c>
    </row>
    <row r="588" spans="1:16" outlineLevel="2">
      <c r="A588" s="1" t="s">
        <v>1064</v>
      </c>
      <c r="B588" s="1" t="s">
        <v>1065</v>
      </c>
      <c r="C588" s="1" t="s">
        <v>1066</v>
      </c>
      <c r="D588" s="2">
        <v>147924.98000000001</v>
      </c>
      <c r="E588" s="1" t="s">
        <v>1085</v>
      </c>
      <c r="F588" s="3">
        <v>46234</v>
      </c>
      <c r="G588" s="4">
        <v>802017066</v>
      </c>
      <c r="H588" s="1" t="s">
        <v>596</v>
      </c>
      <c r="I588" s="1" t="s">
        <v>626</v>
      </c>
      <c r="J588" s="1" t="s">
        <v>23</v>
      </c>
      <c r="K588" s="2" t="s">
        <v>24</v>
      </c>
      <c r="L588" s="1" t="s">
        <v>931</v>
      </c>
      <c r="M588" s="2">
        <v>100</v>
      </c>
      <c r="N588" s="2" t="s">
        <v>26</v>
      </c>
      <c r="O588" s="2">
        <v>159489.98000000001</v>
      </c>
      <c r="P588" s="1" t="s">
        <v>27</v>
      </c>
    </row>
    <row r="589" spans="1:16" outlineLevel="2">
      <c r="A589" s="1" t="s">
        <v>1064</v>
      </c>
      <c r="B589" s="1" t="s">
        <v>1065</v>
      </c>
      <c r="C589" s="1" t="s">
        <v>1066</v>
      </c>
      <c r="D589" s="2">
        <v>147924.98000000001</v>
      </c>
      <c r="E589" s="1" t="s">
        <v>1086</v>
      </c>
      <c r="F589" s="3">
        <v>46234</v>
      </c>
      <c r="G589" s="4">
        <v>802017066</v>
      </c>
      <c r="H589" s="1" t="s">
        <v>596</v>
      </c>
      <c r="I589" s="1" t="s">
        <v>626</v>
      </c>
      <c r="J589" s="1" t="s">
        <v>23</v>
      </c>
      <c r="K589" s="2" t="s">
        <v>24</v>
      </c>
      <c r="L589" s="1" t="s">
        <v>931</v>
      </c>
      <c r="M589" s="2">
        <v>1000</v>
      </c>
      <c r="N589" s="2" t="s">
        <v>26</v>
      </c>
      <c r="O589" s="2">
        <v>160489.98000000001</v>
      </c>
      <c r="P589" s="1" t="s">
        <v>27</v>
      </c>
    </row>
    <row r="590" spans="1:16" outlineLevel="2">
      <c r="A590" s="1" t="s">
        <v>1064</v>
      </c>
      <c r="B590" s="1" t="s">
        <v>1065</v>
      </c>
      <c r="C590" s="1" t="s">
        <v>1066</v>
      </c>
      <c r="D590" s="2">
        <v>147924.98000000001</v>
      </c>
      <c r="E590" s="1" t="s">
        <v>1087</v>
      </c>
      <c r="F590" s="3">
        <v>46234</v>
      </c>
      <c r="G590" s="4">
        <v>802017066</v>
      </c>
      <c r="H590" s="1" t="s">
        <v>596</v>
      </c>
      <c r="I590" s="1" t="s">
        <v>628</v>
      </c>
      <c r="J590" s="1" t="s">
        <v>23</v>
      </c>
      <c r="K590" s="2" t="s">
        <v>24</v>
      </c>
      <c r="L590" s="1" t="s">
        <v>931</v>
      </c>
      <c r="M590" s="2">
        <v>100</v>
      </c>
      <c r="N590" s="2" t="s">
        <v>26</v>
      </c>
      <c r="O590" s="2">
        <v>160589.98000000001</v>
      </c>
      <c r="P590" s="1" t="s">
        <v>27</v>
      </c>
    </row>
    <row r="591" spans="1:16" outlineLevel="2">
      <c r="A591" s="1" t="s">
        <v>1064</v>
      </c>
      <c r="B591" s="1" t="s">
        <v>1065</v>
      </c>
      <c r="C591" s="1" t="s">
        <v>1066</v>
      </c>
      <c r="D591" s="2">
        <v>147924.98000000001</v>
      </c>
      <c r="E591" s="1" t="s">
        <v>1088</v>
      </c>
      <c r="F591" s="3">
        <v>46234</v>
      </c>
      <c r="G591" s="4">
        <v>802017066</v>
      </c>
      <c r="H591" s="1" t="s">
        <v>596</v>
      </c>
      <c r="I591" s="1" t="s">
        <v>628</v>
      </c>
      <c r="J591" s="1" t="s">
        <v>23</v>
      </c>
      <c r="K591" s="2" t="s">
        <v>24</v>
      </c>
      <c r="L591" s="1" t="s">
        <v>931</v>
      </c>
      <c r="M591" s="2">
        <v>1000</v>
      </c>
      <c r="N591" s="2" t="s">
        <v>26</v>
      </c>
      <c r="O591" s="2">
        <v>161589.98000000001</v>
      </c>
      <c r="P591" s="1" t="s">
        <v>27</v>
      </c>
    </row>
    <row r="592" spans="1:16" outlineLevel="2">
      <c r="A592" s="1" t="s">
        <v>1064</v>
      </c>
      <c r="B592" s="1" t="s">
        <v>1065</v>
      </c>
      <c r="C592" s="1" t="s">
        <v>1066</v>
      </c>
      <c r="D592" s="2">
        <v>147924.98000000001</v>
      </c>
      <c r="E592" s="1" t="s">
        <v>1089</v>
      </c>
      <c r="F592" s="3">
        <v>46234</v>
      </c>
      <c r="G592" s="4">
        <v>802017066</v>
      </c>
      <c r="H592" s="1" t="s">
        <v>596</v>
      </c>
      <c r="I592" s="1" t="s">
        <v>630</v>
      </c>
      <c r="J592" s="1" t="s">
        <v>23</v>
      </c>
      <c r="K592" s="2" t="s">
        <v>24</v>
      </c>
      <c r="L592" s="1" t="s">
        <v>931</v>
      </c>
      <c r="M592" s="2">
        <v>100</v>
      </c>
      <c r="N592" s="2" t="s">
        <v>26</v>
      </c>
      <c r="O592" s="2">
        <v>161689.98000000001</v>
      </c>
      <c r="P592" s="1" t="s">
        <v>27</v>
      </c>
    </row>
    <row r="593" spans="1:16" outlineLevel="2">
      <c r="A593" s="1" t="s">
        <v>1064</v>
      </c>
      <c r="B593" s="1" t="s">
        <v>1065</v>
      </c>
      <c r="C593" s="1" t="s">
        <v>1066</v>
      </c>
      <c r="D593" s="2">
        <v>147924.98000000001</v>
      </c>
      <c r="E593" s="1" t="s">
        <v>1090</v>
      </c>
      <c r="F593" s="3">
        <v>46234</v>
      </c>
      <c r="G593" s="4">
        <v>802017066</v>
      </c>
      <c r="H593" s="1" t="s">
        <v>596</v>
      </c>
      <c r="I593" s="1" t="s">
        <v>630</v>
      </c>
      <c r="J593" s="1" t="s">
        <v>23</v>
      </c>
      <c r="K593" s="2" t="s">
        <v>24</v>
      </c>
      <c r="L593" s="1" t="s">
        <v>931</v>
      </c>
      <c r="M593" s="2">
        <v>1000</v>
      </c>
      <c r="N593" s="2" t="s">
        <v>26</v>
      </c>
      <c r="O593" s="2">
        <v>162689.98000000001</v>
      </c>
      <c r="P593" s="1" t="s">
        <v>27</v>
      </c>
    </row>
    <row r="594" spans="1:16" outlineLevel="2">
      <c r="A594" s="1" t="s">
        <v>1064</v>
      </c>
      <c r="B594" s="1" t="s">
        <v>1065</v>
      </c>
      <c r="C594" s="1" t="s">
        <v>1066</v>
      </c>
      <c r="D594" s="2">
        <v>147924.98000000001</v>
      </c>
      <c r="E594" s="1" t="s">
        <v>1091</v>
      </c>
      <c r="F594" s="3">
        <v>46234</v>
      </c>
      <c r="G594" s="4">
        <v>802017066</v>
      </c>
      <c r="H594" s="1" t="s">
        <v>596</v>
      </c>
      <c r="I594" s="1" t="s">
        <v>632</v>
      </c>
      <c r="J594" s="1" t="s">
        <v>23</v>
      </c>
      <c r="K594" s="2" t="s">
        <v>24</v>
      </c>
      <c r="L594" s="1" t="s">
        <v>931</v>
      </c>
      <c r="M594" s="2">
        <v>100</v>
      </c>
      <c r="N594" s="2" t="s">
        <v>26</v>
      </c>
      <c r="O594" s="2">
        <v>162789.98000000001</v>
      </c>
      <c r="P594" s="1" t="s">
        <v>27</v>
      </c>
    </row>
    <row r="595" spans="1:16" outlineLevel="2">
      <c r="A595" s="1" t="s">
        <v>1064</v>
      </c>
      <c r="B595" s="1" t="s">
        <v>1065</v>
      </c>
      <c r="C595" s="1" t="s">
        <v>1066</v>
      </c>
      <c r="D595" s="2">
        <v>147924.98000000001</v>
      </c>
      <c r="E595" s="1" t="s">
        <v>1092</v>
      </c>
      <c r="F595" s="3">
        <v>46234</v>
      </c>
      <c r="G595" s="4">
        <v>802017066</v>
      </c>
      <c r="H595" s="1" t="s">
        <v>596</v>
      </c>
      <c r="I595" s="1" t="s">
        <v>632</v>
      </c>
      <c r="J595" s="1" t="s">
        <v>23</v>
      </c>
      <c r="K595" s="2" t="s">
        <v>24</v>
      </c>
      <c r="L595" s="1" t="s">
        <v>931</v>
      </c>
      <c r="M595" s="2">
        <v>1000</v>
      </c>
      <c r="N595" s="2" t="s">
        <v>26</v>
      </c>
      <c r="O595" s="2">
        <v>163789.98000000001</v>
      </c>
      <c r="P595" s="1" t="s">
        <v>27</v>
      </c>
    </row>
    <row r="596" spans="1:16" outlineLevel="2">
      <c r="A596" s="1" t="s">
        <v>1064</v>
      </c>
      <c r="B596" s="1" t="s">
        <v>1065</v>
      </c>
      <c r="C596" s="1" t="s">
        <v>1066</v>
      </c>
      <c r="D596" s="2">
        <v>147924.98000000001</v>
      </c>
      <c r="E596" s="1" t="s">
        <v>1093</v>
      </c>
      <c r="F596" s="3">
        <v>46234</v>
      </c>
      <c r="G596" s="4">
        <v>802017066</v>
      </c>
      <c r="H596" s="1" t="s">
        <v>596</v>
      </c>
      <c r="I596" s="1" t="s">
        <v>634</v>
      </c>
      <c r="J596" s="1" t="s">
        <v>23</v>
      </c>
      <c r="K596" s="2" t="s">
        <v>24</v>
      </c>
      <c r="L596" s="1" t="s">
        <v>931</v>
      </c>
      <c r="M596" s="2">
        <v>100</v>
      </c>
      <c r="N596" s="2" t="s">
        <v>26</v>
      </c>
      <c r="O596" s="2">
        <v>163889.98000000001</v>
      </c>
      <c r="P596" s="1" t="s">
        <v>27</v>
      </c>
    </row>
    <row r="597" spans="1:16" outlineLevel="2">
      <c r="A597" s="1" t="s">
        <v>1064</v>
      </c>
      <c r="B597" s="1" t="s">
        <v>1065</v>
      </c>
      <c r="C597" s="1" t="s">
        <v>1066</v>
      </c>
      <c r="D597" s="2">
        <v>147924.98000000001</v>
      </c>
      <c r="E597" s="1" t="s">
        <v>1094</v>
      </c>
      <c r="F597" s="3">
        <v>46234</v>
      </c>
      <c r="G597" s="4">
        <v>802017066</v>
      </c>
      <c r="H597" s="1" t="s">
        <v>596</v>
      </c>
      <c r="I597" s="1" t="s">
        <v>634</v>
      </c>
      <c r="J597" s="1" t="s">
        <v>23</v>
      </c>
      <c r="K597" s="2" t="s">
        <v>24</v>
      </c>
      <c r="L597" s="1" t="s">
        <v>931</v>
      </c>
      <c r="M597" s="2">
        <v>1000</v>
      </c>
      <c r="N597" s="2" t="s">
        <v>26</v>
      </c>
      <c r="O597" s="2">
        <v>164889.98000000001</v>
      </c>
      <c r="P597" s="1" t="s">
        <v>27</v>
      </c>
    </row>
    <row r="598" spans="1:16" outlineLevel="2">
      <c r="A598" s="1" t="s">
        <v>1064</v>
      </c>
      <c r="B598" s="1" t="s">
        <v>1065</v>
      </c>
      <c r="C598" s="1" t="s">
        <v>1066</v>
      </c>
      <c r="D598" s="2">
        <v>147924.98000000001</v>
      </c>
      <c r="E598" s="1" t="s">
        <v>1095</v>
      </c>
      <c r="F598" s="3">
        <v>46234</v>
      </c>
      <c r="G598" s="4">
        <v>901075452</v>
      </c>
      <c r="H598" s="1" t="s">
        <v>593</v>
      </c>
      <c r="I598" s="1" t="s">
        <v>636</v>
      </c>
      <c r="J598" s="1" t="s">
        <v>23</v>
      </c>
      <c r="K598" s="2" t="s">
        <v>24</v>
      </c>
      <c r="L598" s="1" t="s">
        <v>931</v>
      </c>
      <c r="M598" s="2">
        <v>50</v>
      </c>
      <c r="N598" s="2" t="s">
        <v>26</v>
      </c>
      <c r="O598" s="2">
        <v>164939.98000000001</v>
      </c>
      <c r="P598" s="1" t="s">
        <v>27</v>
      </c>
    </row>
    <row r="599" spans="1:16" outlineLevel="1">
      <c r="A599" s="13" t="s">
        <v>1468</v>
      </c>
      <c r="M599" s="2">
        <f>SUBTOTAL(9,M570:M598)</f>
        <v>17015</v>
      </c>
      <c r="N599" s="2">
        <f>SUBTOTAL(9,N570:N598)</f>
        <v>0</v>
      </c>
    </row>
    <row r="600" spans="1:16" outlineLevel="2">
      <c r="A600" s="1" t="s">
        <v>1096</v>
      </c>
      <c r="B600" s="1" t="s">
        <v>1097</v>
      </c>
      <c r="C600" s="1" t="s">
        <v>1098</v>
      </c>
      <c r="D600" s="2">
        <v>82920.289999999994</v>
      </c>
      <c r="E600" s="1" t="s">
        <v>1099</v>
      </c>
      <c r="F600" s="3">
        <v>46233</v>
      </c>
      <c r="G600" s="4">
        <v>802017066</v>
      </c>
      <c r="H600" s="1" t="s">
        <v>596</v>
      </c>
      <c r="I600" s="1" t="s">
        <v>597</v>
      </c>
      <c r="J600" s="1" t="s">
        <v>23</v>
      </c>
      <c r="K600" s="2" t="s">
        <v>24</v>
      </c>
      <c r="L600" s="1" t="s">
        <v>931</v>
      </c>
      <c r="M600" s="2">
        <v>1000</v>
      </c>
      <c r="N600" s="2" t="s">
        <v>26</v>
      </c>
      <c r="O600" s="2">
        <v>83920.29</v>
      </c>
      <c r="P600" s="1" t="s">
        <v>27</v>
      </c>
    </row>
    <row r="601" spans="1:16" outlineLevel="2">
      <c r="A601" s="1" t="s">
        <v>1096</v>
      </c>
      <c r="B601" s="1" t="s">
        <v>1097</v>
      </c>
      <c r="C601" s="1" t="s">
        <v>1098</v>
      </c>
      <c r="D601" s="2">
        <v>82920.289999999994</v>
      </c>
      <c r="E601" s="1" t="s">
        <v>1100</v>
      </c>
      <c r="F601" s="3">
        <v>46233</v>
      </c>
      <c r="G601" s="4">
        <v>802017066</v>
      </c>
      <c r="H601" s="1" t="s">
        <v>596</v>
      </c>
      <c r="I601" s="1" t="s">
        <v>609</v>
      </c>
      <c r="J601" s="1" t="s">
        <v>23</v>
      </c>
      <c r="K601" s="2" t="s">
        <v>24</v>
      </c>
      <c r="L601" s="1" t="s">
        <v>931</v>
      </c>
      <c r="M601" s="2">
        <v>1000</v>
      </c>
      <c r="N601" s="2" t="s">
        <v>26</v>
      </c>
      <c r="O601" s="2">
        <v>84920.29</v>
      </c>
      <c r="P601" s="1" t="s">
        <v>27</v>
      </c>
    </row>
    <row r="602" spans="1:16" outlineLevel="2">
      <c r="A602" s="1" t="s">
        <v>1096</v>
      </c>
      <c r="B602" s="1" t="s">
        <v>1097</v>
      </c>
      <c r="C602" s="1" t="s">
        <v>1098</v>
      </c>
      <c r="D602" s="2">
        <v>82920.289999999994</v>
      </c>
      <c r="E602" s="1" t="s">
        <v>1101</v>
      </c>
      <c r="F602" s="3">
        <v>46233</v>
      </c>
      <c r="G602" s="4">
        <v>32785411</v>
      </c>
      <c r="H602" s="1" t="s">
        <v>479</v>
      </c>
      <c r="I602" s="1" t="s">
        <v>480</v>
      </c>
      <c r="J602" s="1" t="s">
        <v>23</v>
      </c>
      <c r="K602" s="2" t="s">
        <v>24</v>
      </c>
      <c r="L602" s="1" t="s">
        <v>931</v>
      </c>
      <c r="M602" s="2">
        <v>1875</v>
      </c>
      <c r="N602" s="2" t="s">
        <v>26</v>
      </c>
      <c r="O602" s="2">
        <v>86795.29</v>
      </c>
      <c r="P602" s="1" t="s">
        <v>27</v>
      </c>
    </row>
    <row r="603" spans="1:16" outlineLevel="1">
      <c r="A603" s="13" t="s">
        <v>1469</v>
      </c>
      <c r="M603" s="2">
        <f>SUBTOTAL(9,M600:M602)</f>
        <v>3875</v>
      </c>
      <c r="N603" s="2">
        <f>SUBTOTAL(9,N600:N602)</f>
        <v>0</v>
      </c>
    </row>
    <row r="604" spans="1:16" outlineLevel="2">
      <c r="A604" s="1" t="s">
        <v>1102</v>
      </c>
      <c r="B604" s="1" t="s">
        <v>1103</v>
      </c>
      <c r="C604" s="1" t="s">
        <v>1104</v>
      </c>
      <c r="D604" s="2">
        <v>-76072</v>
      </c>
      <c r="E604" s="1" t="s">
        <v>18</v>
      </c>
      <c r="F604" s="3" t="s">
        <v>19</v>
      </c>
      <c r="G604" s="4" t="s">
        <v>20</v>
      </c>
      <c r="H604" s="1" t="s">
        <v>21</v>
      </c>
      <c r="I604" s="1" t="s">
        <v>22</v>
      </c>
      <c r="J604" s="1" t="s">
        <v>23</v>
      </c>
      <c r="K604" s="2" t="s">
        <v>24</v>
      </c>
      <c r="L604" s="1" t="s">
        <v>25</v>
      </c>
      <c r="M604" s="2" t="s">
        <v>26</v>
      </c>
      <c r="N604" s="2" t="s">
        <v>26</v>
      </c>
      <c r="O604" s="2">
        <v>-76072</v>
      </c>
      <c r="P604" s="1" t="s">
        <v>27</v>
      </c>
    </row>
    <row r="605" spans="1:16" outlineLevel="1">
      <c r="A605" s="13" t="s">
        <v>1470</v>
      </c>
      <c r="M605" s="2">
        <f>SUBTOTAL(9,M604:M604)</f>
        <v>0</v>
      </c>
      <c r="N605" s="2">
        <f>SUBTOTAL(9,N604:N604)</f>
        <v>0</v>
      </c>
    </row>
    <row r="606" spans="1:16" outlineLevel="2">
      <c r="A606" s="1" t="s">
        <v>1105</v>
      </c>
      <c r="B606" s="1" t="s">
        <v>1106</v>
      </c>
      <c r="C606" s="1" t="s">
        <v>1107</v>
      </c>
      <c r="D606" s="2">
        <v>7.4</v>
      </c>
      <c r="E606" s="1" t="s">
        <v>1108</v>
      </c>
      <c r="F606" s="3">
        <v>46204</v>
      </c>
      <c r="G606" s="4">
        <v>800148462</v>
      </c>
      <c r="H606" s="1" t="s">
        <v>115</v>
      </c>
      <c r="I606" s="1" t="s">
        <v>1107</v>
      </c>
      <c r="J606" s="1" t="s">
        <v>23</v>
      </c>
      <c r="K606" s="2" t="s">
        <v>24</v>
      </c>
      <c r="L606" s="1" t="s">
        <v>25</v>
      </c>
      <c r="M606" s="2" t="s">
        <v>26</v>
      </c>
      <c r="N606" s="2">
        <v>0.41</v>
      </c>
      <c r="O606" s="2">
        <v>6.99</v>
      </c>
      <c r="P606" s="1" t="s">
        <v>27</v>
      </c>
    </row>
    <row r="607" spans="1:16" outlineLevel="2">
      <c r="A607" s="1" t="s">
        <v>1105</v>
      </c>
      <c r="B607" s="1" t="s">
        <v>1106</v>
      </c>
      <c r="C607" s="1" t="s">
        <v>1107</v>
      </c>
      <c r="D607" s="2">
        <v>7.4</v>
      </c>
      <c r="E607" s="1" t="s">
        <v>1109</v>
      </c>
      <c r="F607" s="3">
        <v>46209</v>
      </c>
      <c r="G607" s="4">
        <v>830060331</v>
      </c>
      <c r="H607" s="1" t="s">
        <v>124</v>
      </c>
      <c r="I607" s="1" t="s">
        <v>1107</v>
      </c>
      <c r="J607" s="1" t="s">
        <v>23</v>
      </c>
      <c r="K607" s="2" t="s">
        <v>24</v>
      </c>
      <c r="L607" s="1" t="s">
        <v>25</v>
      </c>
      <c r="M607" s="2" t="s">
        <v>26</v>
      </c>
      <c r="N607" s="2">
        <v>0.18</v>
      </c>
      <c r="O607" s="2">
        <v>6.81</v>
      </c>
      <c r="P607" s="1" t="s">
        <v>27</v>
      </c>
    </row>
    <row r="608" spans="1:16" outlineLevel="2">
      <c r="A608" s="1" t="s">
        <v>1105</v>
      </c>
      <c r="B608" s="1" t="s">
        <v>1106</v>
      </c>
      <c r="C608" s="1" t="s">
        <v>1107</v>
      </c>
      <c r="D608" s="2">
        <v>7.4</v>
      </c>
      <c r="E608" s="1" t="s">
        <v>1110</v>
      </c>
      <c r="F608" s="3">
        <v>46225</v>
      </c>
      <c r="G608" s="4">
        <v>830060331</v>
      </c>
      <c r="H608" s="1" t="s">
        <v>124</v>
      </c>
      <c r="I608" s="1" t="s">
        <v>1107</v>
      </c>
      <c r="J608" s="1" t="s">
        <v>23</v>
      </c>
      <c r="K608" s="2" t="s">
        <v>24</v>
      </c>
      <c r="L608" s="1" t="s">
        <v>25</v>
      </c>
      <c r="M608" s="2">
        <v>0.78</v>
      </c>
      <c r="N608" s="2" t="s">
        <v>26</v>
      </c>
      <c r="O608" s="2">
        <v>7.59</v>
      </c>
      <c r="P608" s="1" t="s">
        <v>27</v>
      </c>
    </row>
    <row r="609" spans="1:16" outlineLevel="2">
      <c r="A609" s="1" t="s">
        <v>1105</v>
      </c>
      <c r="B609" s="1" t="s">
        <v>1106</v>
      </c>
      <c r="C609" s="1" t="s">
        <v>1107</v>
      </c>
      <c r="D609" s="2">
        <v>7.4</v>
      </c>
      <c r="E609" s="1" t="s">
        <v>1111</v>
      </c>
      <c r="F609" s="3">
        <v>46227</v>
      </c>
      <c r="G609" s="4">
        <v>890211777</v>
      </c>
      <c r="H609" s="1" t="s">
        <v>128</v>
      </c>
      <c r="I609" s="1" t="s">
        <v>1107</v>
      </c>
      <c r="J609" s="1" t="s">
        <v>23</v>
      </c>
      <c r="K609" s="2" t="s">
        <v>24</v>
      </c>
      <c r="L609" s="1" t="s">
        <v>25</v>
      </c>
      <c r="M609" s="2" t="s">
        <v>26</v>
      </c>
      <c r="N609" s="2">
        <v>0.14000000000000001</v>
      </c>
      <c r="O609" s="2">
        <v>7.45</v>
      </c>
      <c r="P609" s="1" t="s">
        <v>27</v>
      </c>
    </row>
    <row r="610" spans="1:16" outlineLevel="1">
      <c r="A610" s="13" t="s">
        <v>1471</v>
      </c>
      <c r="M610" s="2">
        <f>SUBTOTAL(9,M606:M609)</f>
        <v>0.78</v>
      </c>
      <c r="N610" s="2">
        <f>SUBTOTAL(9,N606:N609)</f>
        <v>0.73</v>
      </c>
    </row>
    <row r="611" spans="1:16" outlineLevel="2">
      <c r="A611" s="1" t="s">
        <v>1112</v>
      </c>
      <c r="B611" s="1" t="s">
        <v>1113</v>
      </c>
      <c r="C611" s="1" t="s">
        <v>511</v>
      </c>
      <c r="D611" s="2">
        <v>621568</v>
      </c>
      <c r="E611" s="1" t="s">
        <v>1114</v>
      </c>
      <c r="F611" s="3">
        <v>46233</v>
      </c>
      <c r="G611" s="4">
        <v>901120943</v>
      </c>
      <c r="H611" s="1" t="s">
        <v>1115</v>
      </c>
      <c r="I611" s="1" t="s">
        <v>1116</v>
      </c>
      <c r="J611" s="1" t="s">
        <v>23</v>
      </c>
      <c r="K611" s="2" t="s">
        <v>24</v>
      </c>
      <c r="L611" s="1" t="s">
        <v>25</v>
      </c>
      <c r="M611" s="2">
        <v>5400</v>
      </c>
      <c r="N611" s="2" t="s">
        <v>26</v>
      </c>
      <c r="O611" s="2">
        <v>626968</v>
      </c>
      <c r="P611" s="1" t="s">
        <v>27</v>
      </c>
    </row>
    <row r="612" spans="1:16" outlineLevel="1">
      <c r="A612" s="13" t="s">
        <v>1472</v>
      </c>
      <c r="M612" s="2">
        <f>SUBTOTAL(9,M611:M611)</f>
        <v>5400</v>
      </c>
      <c r="N612" s="2">
        <f>SUBTOTAL(9,N611:N611)</f>
        <v>0</v>
      </c>
    </row>
    <row r="613" spans="1:16" outlineLevel="2">
      <c r="A613" s="1" t="s">
        <v>1117</v>
      </c>
      <c r="B613" s="1" t="s">
        <v>1118</v>
      </c>
      <c r="C613" s="1" t="s">
        <v>1119</v>
      </c>
      <c r="D613" s="2">
        <v>53674542.439999998</v>
      </c>
      <c r="E613" s="1" t="s">
        <v>1120</v>
      </c>
      <c r="F613" s="3">
        <v>46219</v>
      </c>
      <c r="G613" s="4">
        <v>901296815</v>
      </c>
      <c r="H613" s="1" t="s">
        <v>395</v>
      </c>
      <c r="I613" s="1" t="s">
        <v>658</v>
      </c>
      <c r="J613" s="1" t="s">
        <v>23</v>
      </c>
      <c r="K613" s="2" t="s">
        <v>24</v>
      </c>
      <c r="L613" s="1" t="s">
        <v>931</v>
      </c>
      <c r="M613" s="2">
        <v>2355006</v>
      </c>
      <c r="N613" s="2" t="s">
        <v>26</v>
      </c>
      <c r="O613" s="2">
        <v>56029548.439999998</v>
      </c>
      <c r="P613" s="1" t="s">
        <v>27</v>
      </c>
    </row>
    <row r="614" spans="1:16" outlineLevel="2">
      <c r="A614" s="1" t="s">
        <v>1117</v>
      </c>
      <c r="B614" s="1" t="s">
        <v>1118</v>
      </c>
      <c r="C614" s="1" t="s">
        <v>1119</v>
      </c>
      <c r="D614" s="2">
        <v>53674542.439999998</v>
      </c>
      <c r="E614" s="1" t="s">
        <v>1121</v>
      </c>
      <c r="F614" s="3">
        <v>46226</v>
      </c>
      <c r="G614" s="4">
        <v>16708751</v>
      </c>
      <c r="H614" s="1" t="s">
        <v>212</v>
      </c>
      <c r="I614" s="1" t="s">
        <v>219</v>
      </c>
      <c r="J614" s="1" t="s">
        <v>23</v>
      </c>
      <c r="K614" s="2" t="s">
        <v>24</v>
      </c>
      <c r="L614" s="1" t="s">
        <v>931</v>
      </c>
      <c r="M614" s="2">
        <v>894000</v>
      </c>
      <c r="N614" s="2" t="s">
        <v>26</v>
      </c>
      <c r="O614" s="2">
        <v>56923548.439999998</v>
      </c>
      <c r="P614" s="1" t="s">
        <v>27</v>
      </c>
    </row>
    <row r="615" spans="1:16" outlineLevel="1">
      <c r="A615" s="13" t="s">
        <v>1473</v>
      </c>
      <c r="M615" s="2">
        <f>SUBTOTAL(9,M613:M614)</f>
        <v>3249006</v>
      </c>
      <c r="N615" s="2">
        <f>SUBTOTAL(9,N613:N614)</f>
        <v>0</v>
      </c>
    </row>
    <row r="616" spans="1:16" outlineLevel="2">
      <c r="A616" s="1" t="s">
        <v>1122</v>
      </c>
      <c r="B616" s="1" t="s">
        <v>1123</v>
      </c>
      <c r="C616" s="1" t="s">
        <v>982</v>
      </c>
      <c r="D616" s="2">
        <v>61393828</v>
      </c>
      <c r="E616" s="1" t="s">
        <v>18</v>
      </c>
      <c r="F616" s="3" t="s">
        <v>19</v>
      </c>
      <c r="G616" s="4" t="s">
        <v>20</v>
      </c>
      <c r="H616" s="1" t="s">
        <v>21</v>
      </c>
      <c r="I616" s="1" t="s">
        <v>22</v>
      </c>
      <c r="J616" s="1" t="s">
        <v>23</v>
      </c>
      <c r="K616" s="2" t="s">
        <v>24</v>
      </c>
      <c r="L616" s="1" t="s">
        <v>25</v>
      </c>
      <c r="M616" s="2" t="s">
        <v>26</v>
      </c>
      <c r="N616" s="2" t="s">
        <v>26</v>
      </c>
      <c r="O616" s="2">
        <v>61393828</v>
      </c>
      <c r="P616" s="1" t="s">
        <v>27</v>
      </c>
    </row>
    <row r="617" spans="1:16" outlineLevel="1">
      <c r="A617" s="13" t="s">
        <v>1474</v>
      </c>
      <c r="M617" s="2">
        <f>SUBTOTAL(9,M616:M616)</f>
        <v>0</v>
      </c>
      <c r="N617" s="2">
        <f>SUBTOTAL(9,N616:N616)</f>
        <v>0</v>
      </c>
    </row>
    <row r="618" spans="1:16" outlineLevel="2">
      <c r="A618" s="1" t="s">
        <v>1124</v>
      </c>
      <c r="B618" s="1" t="s">
        <v>1125</v>
      </c>
      <c r="C618" s="1" t="s">
        <v>985</v>
      </c>
      <c r="D618" s="2">
        <v>8544794</v>
      </c>
      <c r="E618" s="1" t="s">
        <v>18</v>
      </c>
      <c r="F618" s="3" t="s">
        <v>19</v>
      </c>
      <c r="G618" s="4" t="s">
        <v>20</v>
      </c>
      <c r="H618" s="1" t="s">
        <v>21</v>
      </c>
      <c r="I618" s="1" t="s">
        <v>22</v>
      </c>
      <c r="J618" s="1" t="s">
        <v>23</v>
      </c>
      <c r="K618" s="2" t="s">
        <v>24</v>
      </c>
      <c r="L618" s="1" t="s">
        <v>25</v>
      </c>
      <c r="M618" s="2" t="s">
        <v>26</v>
      </c>
      <c r="N618" s="2" t="s">
        <v>26</v>
      </c>
      <c r="O618" s="2">
        <v>8544794</v>
      </c>
      <c r="P618" s="1" t="s">
        <v>27</v>
      </c>
    </row>
    <row r="619" spans="1:16" outlineLevel="1">
      <c r="A619" s="13" t="s">
        <v>1475</v>
      </c>
      <c r="M619" s="2">
        <f>SUBTOTAL(9,M618:M618)</f>
        <v>0</v>
      </c>
      <c r="N619" s="2">
        <f>SUBTOTAL(9,N618:N618)</f>
        <v>0</v>
      </c>
    </row>
    <row r="620" spans="1:16" outlineLevel="2">
      <c r="A620" s="1" t="s">
        <v>1126</v>
      </c>
      <c r="B620" s="1" t="s">
        <v>1127</v>
      </c>
      <c r="C620" s="1" t="s">
        <v>1128</v>
      </c>
      <c r="D620" s="2">
        <v>1085535</v>
      </c>
      <c r="E620" s="1" t="s">
        <v>18</v>
      </c>
      <c r="F620" s="3" t="s">
        <v>19</v>
      </c>
      <c r="G620" s="4" t="s">
        <v>20</v>
      </c>
      <c r="H620" s="1" t="s">
        <v>21</v>
      </c>
      <c r="I620" s="1" t="s">
        <v>22</v>
      </c>
      <c r="J620" s="1" t="s">
        <v>23</v>
      </c>
      <c r="K620" s="2" t="s">
        <v>24</v>
      </c>
      <c r="L620" s="1" t="s">
        <v>25</v>
      </c>
      <c r="M620" s="2" t="s">
        <v>26</v>
      </c>
      <c r="N620" s="2" t="s">
        <v>26</v>
      </c>
      <c r="O620" s="2">
        <v>1085535</v>
      </c>
      <c r="P620" s="1" t="s">
        <v>27</v>
      </c>
    </row>
    <row r="621" spans="1:16" outlineLevel="1">
      <c r="A621" s="13" t="s">
        <v>1476</v>
      </c>
      <c r="M621" s="2">
        <f>SUBTOTAL(9,M620:M620)</f>
        <v>0</v>
      </c>
      <c r="N621" s="2">
        <f>SUBTOTAL(9,N620:N620)</f>
        <v>0</v>
      </c>
    </row>
    <row r="622" spans="1:16" outlineLevel="2">
      <c r="A622" s="1" t="s">
        <v>1129</v>
      </c>
      <c r="B622" s="1" t="s">
        <v>1130</v>
      </c>
      <c r="C622" s="1" t="s">
        <v>988</v>
      </c>
      <c r="D622" s="2">
        <v>3445814</v>
      </c>
      <c r="E622" s="1" t="s">
        <v>18</v>
      </c>
      <c r="F622" s="3" t="s">
        <v>19</v>
      </c>
      <c r="G622" s="4" t="s">
        <v>20</v>
      </c>
      <c r="H622" s="1" t="s">
        <v>21</v>
      </c>
      <c r="I622" s="1" t="s">
        <v>22</v>
      </c>
      <c r="J622" s="1" t="s">
        <v>23</v>
      </c>
      <c r="K622" s="2" t="s">
        <v>24</v>
      </c>
      <c r="L622" s="1" t="s">
        <v>25</v>
      </c>
      <c r="M622" s="2" t="s">
        <v>26</v>
      </c>
      <c r="N622" s="2" t="s">
        <v>26</v>
      </c>
      <c r="O622" s="2">
        <v>3445814</v>
      </c>
      <c r="P622" s="1" t="s">
        <v>27</v>
      </c>
    </row>
    <row r="623" spans="1:16" outlineLevel="1">
      <c r="A623" s="13" t="s">
        <v>1477</v>
      </c>
      <c r="M623" s="2">
        <f>SUBTOTAL(9,M622:M622)</f>
        <v>0</v>
      </c>
      <c r="N623" s="2">
        <f>SUBTOTAL(9,N622:N622)</f>
        <v>0</v>
      </c>
    </row>
    <row r="624" spans="1:16" outlineLevel="2">
      <c r="A624" s="1" t="s">
        <v>1131</v>
      </c>
      <c r="B624" s="1" t="s">
        <v>1132</v>
      </c>
      <c r="C624" s="1" t="s">
        <v>872</v>
      </c>
      <c r="D624" s="2">
        <v>6386674</v>
      </c>
      <c r="E624" s="1" t="s">
        <v>18</v>
      </c>
      <c r="F624" s="3" t="s">
        <v>19</v>
      </c>
      <c r="G624" s="4" t="s">
        <v>20</v>
      </c>
      <c r="H624" s="1" t="s">
        <v>21</v>
      </c>
      <c r="I624" s="1" t="s">
        <v>22</v>
      </c>
      <c r="J624" s="1" t="s">
        <v>23</v>
      </c>
      <c r="K624" s="2" t="s">
        <v>24</v>
      </c>
      <c r="L624" s="1" t="s">
        <v>25</v>
      </c>
      <c r="M624" s="2" t="s">
        <v>26</v>
      </c>
      <c r="N624" s="2" t="s">
        <v>26</v>
      </c>
      <c r="O624" s="2">
        <v>6386674</v>
      </c>
      <c r="P624" s="1" t="s">
        <v>27</v>
      </c>
    </row>
    <row r="625" spans="1:16" outlineLevel="1">
      <c r="A625" s="13" t="s">
        <v>1478</v>
      </c>
      <c r="M625" s="2">
        <f>SUBTOTAL(9,M624:M624)</f>
        <v>0</v>
      </c>
      <c r="N625" s="2">
        <f>SUBTOTAL(9,N624:N624)</f>
        <v>0</v>
      </c>
    </row>
    <row r="626" spans="1:16" outlineLevel="2">
      <c r="A626" s="1" t="s">
        <v>1133</v>
      </c>
      <c r="B626" s="1" t="s">
        <v>1134</v>
      </c>
      <c r="C626" s="1" t="s">
        <v>863</v>
      </c>
      <c r="D626" s="2">
        <v>766707</v>
      </c>
      <c r="E626" s="1" t="s">
        <v>18</v>
      </c>
      <c r="F626" s="3" t="s">
        <v>19</v>
      </c>
      <c r="G626" s="4" t="s">
        <v>20</v>
      </c>
      <c r="H626" s="1" t="s">
        <v>21</v>
      </c>
      <c r="I626" s="1" t="s">
        <v>22</v>
      </c>
      <c r="J626" s="1" t="s">
        <v>23</v>
      </c>
      <c r="K626" s="2" t="s">
        <v>24</v>
      </c>
      <c r="L626" s="1" t="s">
        <v>25</v>
      </c>
      <c r="M626" s="2" t="s">
        <v>26</v>
      </c>
      <c r="N626" s="2" t="s">
        <v>26</v>
      </c>
      <c r="O626" s="2">
        <v>766707</v>
      </c>
      <c r="P626" s="1" t="s">
        <v>27</v>
      </c>
    </row>
    <row r="627" spans="1:16" outlineLevel="1">
      <c r="A627" s="13" t="s">
        <v>1479</v>
      </c>
      <c r="M627" s="2">
        <f>SUBTOTAL(9,M626:M626)</f>
        <v>0</v>
      </c>
      <c r="N627" s="2">
        <f>SUBTOTAL(9,N626:N626)</f>
        <v>0</v>
      </c>
    </row>
    <row r="628" spans="1:16" outlineLevel="2">
      <c r="A628" s="1" t="s">
        <v>1135</v>
      </c>
      <c r="B628" s="1" t="s">
        <v>1136</v>
      </c>
      <c r="C628" s="1" t="s">
        <v>1137</v>
      </c>
      <c r="D628" s="2">
        <v>6386674</v>
      </c>
      <c r="E628" s="1" t="s">
        <v>18</v>
      </c>
      <c r="F628" s="3" t="s">
        <v>19</v>
      </c>
      <c r="G628" s="4" t="s">
        <v>20</v>
      </c>
      <c r="H628" s="1" t="s">
        <v>21</v>
      </c>
      <c r="I628" s="1" t="s">
        <v>22</v>
      </c>
      <c r="J628" s="1" t="s">
        <v>23</v>
      </c>
      <c r="K628" s="2" t="s">
        <v>24</v>
      </c>
      <c r="L628" s="1" t="s">
        <v>25</v>
      </c>
      <c r="M628" s="2" t="s">
        <v>26</v>
      </c>
      <c r="N628" s="2" t="s">
        <v>26</v>
      </c>
      <c r="O628" s="2">
        <v>6386674</v>
      </c>
      <c r="P628" s="1" t="s">
        <v>27</v>
      </c>
    </row>
    <row r="629" spans="1:16" outlineLevel="1">
      <c r="A629" s="13" t="s">
        <v>1480</v>
      </c>
      <c r="M629" s="2">
        <f>SUBTOTAL(9,M628:M628)</f>
        <v>0</v>
      </c>
      <c r="N629" s="2">
        <f>SUBTOTAL(9,N628:N628)</f>
        <v>0</v>
      </c>
    </row>
    <row r="630" spans="1:16" outlineLevel="2">
      <c r="A630" s="1" t="s">
        <v>1138</v>
      </c>
      <c r="B630" s="1" t="s">
        <v>1139</v>
      </c>
      <c r="C630" s="1" t="s">
        <v>877</v>
      </c>
      <c r="D630" s="2">
        <v>2676947</v>
      </c>
      <c r="E630" s="1" t="s">
        <v>18</v>
      </c>
      <c r="F630" s="3" t="s">
        <v>19</v>
      </c>
      <c r="G630" s="4" t="s">
        <v>20</v>
      </c>
      <c r="H630" s="1" t="s">
        <v>21</v>
      </c>
      <c r="I630" s="1" t="s">
        <v>22</v>
      </c>
      <c r="J630" s="1" t="s">
        <v>23</v>
      </c>
      <c r="K630" s="2" t="s">
        <v>24</v>
      </c>
      <c r="L630" s="1" t="s">
        <v>25</v>
      </c>
      <c r="M630" s="2" t="s">
        <v>26</v>
      </c>
      <c r="N630" s="2" t="s">
        <v>26</v>
      </c>
      <c r="O630" s="2">
        <v>2676947</v>
      </c>
      <c r="P630" s="1" t="s">
        <v>27</v>
      </c>
    </row>
    <row r="631" spans="1:16" outlineLevel="1">
      <c r="A631" s="13" t="s">
        <v>1481</v>
      </c>
      <c r="M631" s="2">
        <f>SUBTOTAL(9,M630:M630)</f>
        <v>0</v>
      </c>
      <c r="N631" s="2">
        <f>SUBTOTAL(9,N630:N630)</f>
        <v>0</v>
      </c>
    </row>
    <row r="632" spans="1:16" outlineLevel="2">
      <c r="A632" s="1" t="s">
        <v>1140</v>
      </c>
      <c r="B632" s="1" t="s">
        <v>1141</v>
      </c>
      <c r="C632" s="1" t="s">
        <v>1142</v>
      </c>
      <c r="D632" s="2">
        <v>1700788</v>
      </c>
      <c r="E632" s="1" t="s">
        <v>18</v>
      </c>
      <c r="F632" s="3" t="s">
        <v>19</v>
      </c>
      <c r="G632" s="4" t="s">
        <v>20</v>
      </c>
      <c r="H632" s="1" t="s">
        <v>21</v>
      </c>
      <c r="I632" s="1" t="s">
        <v>22</v>
      </c>
      <c r="J632" s="1" t="s">
        <v>23</v>
      </c>
      <c r="K632" s="2" t="s">
        <v>24</v>
      </c>
      <c r="L632" s="1" t="s">
        <v>25</v>
      </c>
      <c r="M632" s="2" t="s">
        <v>26</v>
      </c>
      <c r="N632" s="2" t="s">
        <v>26</v>
      </c>
      <c r="O632" s="2">
        <v>1700788</v>
      </c>
      <c r="P632" s="1" t="s">
        <v>27</v>
      </c>
    </row>
    <row r="633" spans="1:16" outlineLevel="1">
      <c r="A633" s="13" t="s">
        <v>1482</v>
      </c>
      <c r="M633" s="2">
        <f>SUBTOTAL(9,M632:M632)</f>
        <v>0</v>
      </c>
      <c r="N633" s="2">
        <f>SUBTOTAL(9,N632:N632)</f>
        <v>0</v>
      </c>
    </row>
    <row r="634" spans="1:16" outlineLevel="2">
      <c r="A634" s="1" t="s">
        <v>1143</v>
      </c>
      <c r="B634" s="1" t="s">
        <v>1144</v>
      </c>
      <c r="C634" s="1" t="s">
        <v>1145</v>
      </c>
      <c r="D634" s="2">
        <v>4869000</v>
      </c>
      <c r="E634" s="1" t="s">
        <v>18</v>
      </c>
      <c r="F634" s="3" t="s">
        <v>19</v>
      </c>
      <c r="G634" s="4" t="s">
        <v>20</v>
      </c>
      <c r="H634" s="1" t="s">
        <v>21</v>
      </c>
      <c r="I634" s="1" t="s">
        <v>22</v>
      </c>
      <c r="J634" s="1" t="s">
        <v>23</v>
      </c>
      <c r="K634" s="2" t="s">
        <v>24</v>
      </c>
      <c r="L634" s="1" t="s">
        <v>25</v>
      </c>
      <c r="M634" s="2" t="s">
        <v>26</v>
      </c>
      <c r="N634" s="2" t="s">
        <v>26</v>
      </c>
      <c r="O634" s="2">
        <v>4869000</v>
      </c>
      <c r="P634" s="1" t="s">
        <v>27</v>
      </c>
    </row>
    <row r="635" spans="1:16" outlineLevel="1">
      <c r="A635" s="13" t="s">
        <v>1483</v>
      </c>
      <c r="M635" s="2">
        <f>SUBTOTAL(9,M634:M634)</f>
        <v>0</v>
      </c>
      <c r="N635" s="2">
        <f>SUBTOTAL(9,N634:N634)</f>
        <v>0</v>
      </c>
    </row>
    <row r="636" spans="1:16" outlineLevel="2">
      <c r="A636" s="1" t="s">
        <v>1146</v>
      </c>
      <c r="B636" s="1" t="s">
        <v>1147</v>
      </c>
      <c r="C636" s="1" t="s">
        <v>706</v>
      </c>
      <c r="D636" s="2">
        <v>-192385</v>
      </c>
      <c r="E636" s="1" t="s">
        <v>18</v>
      </c>
      <c r="F636" s="3" t="s">
        <v>19</v>
      </c>
      <c r="G636" s="4" t="s">
        <v>20</v>
      </c>
      <c r="H636" s="1" t="s">
        <v>21</v>
      </c>
      <c r="I636" s="1" t="s">
        <v>22</v>
      </c>
      <c r="J636" s="1" t="s">
        <v>23</v>
      </c>
      <c r="K636" s="2" t="s">
        <v>24</v>
      </c>
      <c r="L636" s="1" t="s">
        <v>25</v>
      </c>
      <c r="M636" s="2" t="s">
        <v>26</v>
      </c>
      <c r="N636" s="2" t="s">
        <v>26</v>
      </c>
      <c r="O636" s="2">
        <v>-192385</v>
      </c>
      <c r="P636" s="1" t="s">
        <v>27</v>
      </c>
    </row>
    <row r="637" spans="1:16" outlineLevel="1">
      <c r="A637" s="13" t="s">
        <v>1484</v>
      </c>
      <c r="M637" s="2">
        <f>SUBTOTAL(9,M636:M636)</f>
        <v>0</v>
      </c>
      <c r="N637" s="2">
        <f>SUBTOTAL(9,N636:N636)</f>
        <v>0</v>
      </c>
    </row>
    <row r="638" spans="1:16" outlineLevel="2">
      <c r="A638" s="1" t="s">
        <v>1148</v>
      </c>
      <c r="B638" s="1" t="s">
        <v>1149</v>
      </c>
      <c r="C638" s="1" t="s">
        <v>1150</v>
      </c>
      <c r="D638" s="2">
        <v>7808310</v>
      </c>
      <c r="E638" s="1" t="s">
        <v>18</v>
      </c>
      <c r="F638" s="3" t="s">
        <v>19</v>
      </c>
      <c r="G638" s="4" t="s">
        <v>20</v>
      </c>
      <c r="H638" s="1" t="s">
        <v>21</v>
      </c>
      <c r="I638" s="1" t="s">
        <v>22</v>
      </c>
      <c r="J638" s="1" t="s">
        <v>23</v>
      </c>
      <c r="K638" s="2" t="s">
        <v>24</v>
      </c>
      <c r="L638" s="1" t="s">
        <v>25</v>
      </c>
      <c r="M638" s="2" t="s">
        <v>26</v>
      </c>
      <c r="N638" s="2" t="s">
        <v>26</v>
      </c>
      <c r="O638" s="2">
        <v>7808310</v>
      </c>
      <c r="P638" s="1" t="s">
        <v>27</v>
      </c>
    </row>
    <row r="639" spans="1:16" outlineLevel="1">
      <c r="A639" s="13" t="s">
        <v>1485</v>
      </c>
      <c r="M639" s="2">
        <f>SUBTOTAL(9,M638:M638)</f>
        <v>0</v>
      </c>
      <c r="N639" s="2">
        <f>SUBTOTAL(9,N638:N638)</f>
        <v>0</v>
      </c>
    </row>
    <row r="640" spans="1:16" outlineLevel="2">
      <c r="A640" s="1" t="s">
        <v>1151</v>
      </c>
      <c r="B640" s="1" t="s">
        <v>1152</v>
      </c>
      <c r="C640" s="1" t="s">
        <v>1153</v>
      </c>
      <c r="D640" s="2">
        <v>2807600</v>
      </c>
      <c r="E640" s="1" t="s">
        <v>18</v>
      </c>
      <c r="F640" s="3" t="s">
        <v>19</v>
      </c>
      <c r="G640" s="4" t="s">
        <v>20</v>
      </c>
      <c r="H640" s="1" t="s">
        <v>21</v>
      </c>
      <c r="I640" s="1" t="s">
        <v>22</v>
      </c>
      <c r="J640" s="1" t="s">
        <v>23</v>
      </c>
      <c r="K640" s="2" t="s">
        <v>24</v>
      </c>
      <c r="L640" s="1" t="s">
        <v>25</v>
      </c>
      <c r="M640" s="2" t="s">
        <v>26</v>
      </c>
      <c r="N640" s="2" t="s">
        <v>26</v>
      </c>
      <c r="O640" s="2">
        <v>2807600</v>
      </c>
      <c r="P640" s="1" t="s">
        <v>27</v>
      </c>
    </row>
    <row r="641" spans="1:16" outlineLevel="1">
      <c r="A641" s="13" t="s">
        <v>1486</v>
      </c>
      <c r="M641" s="2">
        <f>SUBTOTAL(9,M640:M640)</f>
        <v>0</v>
      </c>
      <c r="N641" s="2">
        <f>SUBTOTAL(9,N640:N640)</f>
        <v>0</v>
      </c>
    </row>
    <row r="642" spans="1:16" outlineLevel="2">
      <c r="A642" s="1" t="s">
        <v>1154</v>
      </c>
      <c r="B642" s="1" t="s">
        <v>1155</v>
      </c>
      <c r="C642" s="1" t="s">
        <v>1156</v>
      </c>
      <c r="D642" s="2">
        <v>994000</v>
      </c>
      <c r="E642" s="1" t="s">
        <v>18</v>
      </c>
      <c r="F642" s="3" t="s">
        <v>19</v>
      </c>
      <c r="G642" s="4" t="s">
        <v>20</v>
      </c>
      <c r="H642" s="1" t="s">
        <v>21</v>
      </c>
      <c r="I642" s="1" t="s">
        <v>22</v>
      </c>
      <c r="J642" s="1" t="s">
        <v>23</v>
      </c>
      <c r="K642" s="2" t="s">
        <v>24</v>
      </c>
      <c r="L642" s="1" t="s">
        <v>25</v>
      </c>
      <c r="M642" s="2" t="s">
        <v>26</v>
      </c>
      <c r="N642" s="2" t="s">
        <v>26</v>
      </c>
      <c r="O642" s="2">
        <v>994000</v>
      </c>
      <c r="P642" s="1" t="s">
        <v>27</v>
      </c>
    </row>
    <row r="643" spans="1:16" outlineLevel="1">
      <c r="A643" s="13" t="s">
        <v>1487</v>
      </c>
      <c r="M643" s="2">
        <f>SUBTOTAL(9,M642:M642)</f>
        <v>0</v>
      </c>
      <c r="N643" s="2">
        <f>SUBTOTAL(9,N642:N642)</f>
        <v>0</v>
      </c>
    </row>
    <row r="644" spans="1:16" outlineLevel="2">
      <c r="A644" s="1" t="s">
        <v>1157</v>
      </c>
      <c r="B644" s="1" t="s">
        <v>1158</v>
      </c>
      <c r="C644" s="1" t="s">
        <v>1159</v>
      </c>
      <c r="D644" s="2">
        <v>238500</v>
      </c>
      <c r="E644" s="1" t="s">
        <v>18</v>
      </c>
      <c r="F644" s="3" t="s">
        <v>19</v>
      </c>
      <c r="G644" s="4" t="s">
        <v>20</v>
      </c>
      <c r="H644" s="1" t="s">
        <v>21</v>
      </c>
      <c r="I644" s="1" t="s">
        <v>22</v>
      </c>
      <c r="J644" s="1" t="s">
        <v>23</v>
      </c>
      <c r="K644" s="2" t="s">
        <v>24</v>
      </c>
      <c r="L644" s="1" t="s">
        <v>25</v>
      </c>
      <c r="M644" s="2" t="s">
        <v>26</v>
      </c>
      <c r="N644" s="2" t="s">
        <v>26</v>
      </c>
      <c r="O644" s="2">
        <v>238500</v>
      </c>
      <c r="P644" s="1" t="s">
        <v>27</v>
      </c>
    </row>
    <row r="645" spans="1:16" outlineLevel="1">
      <c r="A645" s="13" t="s">
        <v>1488</v>
      </c>
      <c r="M645" s="2">
        <f>SUBTOTAL(9,M644:M644)</f>
        <v>0</v>
      </c>
      <c r="N645" s="2">
        <f>SUBTOTAL(9,N644:N644)</f>
        <v>0</v>
      </c>
    </row>
    <row r="646" spans="1:16" outlineLevel="2">
      <c r="A646" s="1" t="s">
        <v>1160</v>
      </c>
      <c r="B646" s="1" t="s">
        <v>1161</v>
      </c>
      <c r="C646" s="1" t="s">
        <v>1017</v>
      </c>
      <c r="D646" s="2">
        <v>7500000</v>
      </c>
      <c r="E646" s="1" t="s">
        <v>18</v>
      </c>
      <c r="F646" s="3" t="s">
        <v>19</v>
      </c>
      <c r="G646" s="4" t="s">
        <v>20</v>
      </c>
      <c r="H646" s="1" t="s">
        <v>21</v>
      </c>
      <c r="I646" s="1" t="s">
        <v>22</v>
      </c>
      <c r="J646" s="1" t="s">
        <v>23</v>
      </c>
      <c r="K646" s="2" t="s">
        <v>24</v>
      </c>
      <c r="L646" s="1" t="s">
        <v>25</v>
      </c>
      <c r="M646" s="2" t="s">
        <v>26</v>
      </c>
      <c r="N646" s="2" t="s">
        <v>26</v>
      </c>
      <c r="O646" s="2">
        <v>7500000</v>
      </c>
      <c r="P646" s="1" t="s">
        <v>27</v>
      </c>
    </row>
    <row r="647" spans="1:16" outlineLevel="1">
      <c r="A647" s="13" t="s">
        <v>1489</v>
      </c>
      <c r="M647" s="2">
        <f>SUBTOTAL(9,M646:M646)</f>
        <v>0</v>
      </c>
      <c r="N647" s="2">
        <f>SUBTOTAL(9,N646:N646)</f>
        <v>0</v>
      </c>
    </row>
    <row r="648" spans="1:16" outlineLevel="2">
      <c r="A648" s="1" t="s">
        <v>1162</v>
      </c>
      <c r="B648" s="1" t="s">
        <v>1163</v>
      </c>
      <c r="C648" s="1" t="s">
        <v>1164</v>
      </c>
      <c r="D648" s="2">
        <v>9061820</v>
      </c>
      <c r="E648" s="1" t="s">
        <v>1165</v>
      </c>
      <c r="F648" s="3">
        <v>46205</v>
      </c>
      <c r="G648" s="4">
        <v>802013446</v>
      </c>
      <c r="H648" s="1" t="s">
        <v>200</v>
      </c>
      <c r="I648" s="1" t="s">
        <v>201</v>
      </c>
      <c r="J648" s="1" t="s">
        <v>23</v>
      </c>
      <c r="K648" s="2" t="s">
        <v>24</v>
      </c>
      <c r="L648" s="1" t="s">
        <v>931</v>
      </c>
      <c r="M648" s="2">
        <v>6375000</v>
      </c>
      <c r="N648" s="2" t="s">
        <v>26</v>
      </c>
      <c r="O648" s="2">
        <v>15436820</v>
      </c>
      <c r="P648" s="1" t="s">
        <v>27</v>
      </c>
    </row>
    <row r="649" spans="1:16" outlineLevel="1">
      <c r="A649" s="13" t="s">
        <v>1490</v>
      </c>
      <c r="M649" s="2">
        <f>SUBTOTAL(9,M648:M648)</f>
        <v>6375000</v>
      </c>
      <c r="N649" s="2">
        <f>SUBTOTAL(9,N648:N648)</f>
        <v>0</v>
      </c>
    </row>
    <row r="650" spans="1:16" outlineLevel="2">
      <c r="A650" s="1" t="s">
        <v>1166</v>
      </c>
      <c r="B650" s="1" t="s">
        <v>1167</v>
      </c>
      <c r="C650" s="1" t="s">
        <v>511</v>
      </c>
      <c r="D650" s="2">
        <v>297000</v>
      </c>
      <c r="E650" s="1" t="s">
        <v>18</v>
      </c>
      <c r="F650" s="3" t="s">
        <v>19</v>
      </c>
      <c r="G650" s="4" t="s">
        <v>20</v>
      </c>
      <c r="H650" s="1" t="s">
        <v>21</v>
      </c>
      <c r="I650" s="1" t="s">
        <v>22</v>
      </c>
      <c r="J650" s="1" t="s">
        <v>23</v>
      </c>
      <c r="K650" s="2" t="s">
        <v>24</v>
      </c>
      <c r="L650" s="1" t="s">
        <v>25</v>
      </c>
      <c r="M650" s="2" t="s">
        <v>26</v>
      </c>
      <c r="N650" s="2" t="s">
        <v>26</v>
      </c>
      <c r="O650" s="2">
        <v>297000</v>
      </c>
      <c r="P650" s="1" t="s">
        <v>27</v>
      </c>
    </row>
    <row r="651" spans="1:16" outlineLevel="1">
      <c r="A651" s="13" t="s">
        <v>1491</v>
      </c>
      <c r="M651" s="2">
        <f>SUBTOTAL(9,M650:M650)</f>
        <v>0</v>
      </c>
      <c r="N651" s="2">
        <f>SUBTOTAL(9,N650:N650)</f>
        <v>0</v>
      </c>
    </row>
    <row r="652" spans="1:16" outlineLevel="2">
      <c r="A652" s="1" t="s">
        <v>1168</v>
      </c>
      <c r="B652" s="1" t="s">
        <v>1169</v>
      </c>
      <c r="C652" s="1" t="s">
        <v>1170</v>
      </c>
      <c r="D652" s="2">
        <v>330500</v>
      </c>
      <c r="E652" s="1" t="s">
        <v>18</v>
      </c>
      <c r="F652" s="3" t="s">
        <v>19</v>
      </c>
      <c r="G652" s="4" t="s">
        <v>20</v>
      </c>
      <c r="H652" s="1" t="s">
        <v>21</v>
      </c>
      <c r="I652" s="1" t="s">
        <v>22</v>
      </c>
      <c r="J652" s="1" t="s">
        <v>23</v>
      </c>
      <c r="K652" s="2" t="s">
        <v>24</v>
      </c>
      <c r="L652" s="1" t="s">
        <v>25</v>
      </c>
      <c r="M652" s="2" t="s">
        <v>26</v>
      </c>
      <c r="N652" s="2" t="s">
        <v>26</v>
      </c>
      <c r="O652" s="2">
        <v>330500</v>
      </c>
      <c r="P652" s="1" t="s">
        <v>27</v>
      </c>
    </row>
    <row r="653" spans="1:16" outlineLevel="1">
      <c r="A653" s="13" t="s">
        <v>1492</v>
      </c>
      <c r="M653" s="2">
        <f>SUBTOTAL(9,M652:M652)</f>
        <v>0</v>
      </c>
      <c r="N653" s="2">
        <f>SUBTOTAL(9,N652:N652)</f>
        <v>0</v>
      </c>
    </row>
    <row r="654" spans="1:16" outlineLevel="2">
      <c r="A654" s="1" t="s">
        <v>1171</v>
      </c>
      <c r="B654" s="1" t="s">
        <v>1172</v>
      </c>
      <c r="C654" s="1" t="s">
        <v>1173</v>
      </c>
      <c r="D654" s="2">
        <v>25260279</v>
      </c>
      <c r="E654" s="1" t="s">
        <v>18</v>
      </c>
      <c r="F654" s="3" t="s">
        <v>19</v>
      </c>
      <c r="G654" s="4" t="s">
        <v>20</v>
      </c>
      <c r="H654" s="1" t="s">
        <v>21</v>
      </c>
      <c r="I654" s="1" t="s">
        <v>22</v>
      </c>
      <c r="J654" s="1" t="s">
        <v>23</v>
      </c>
      <c r="K654" s="2" t="s">
        <v>24</v>
      </c>
      <c r="L654" s="1" t="s">
        <v>25</v>
      </c>
      <c r="M654" s="2" t="s">
        <v>26</v>
      </c>
      <c r="N654" s="2" t="s">
        <v>26</v>
      </c>
      <c r="O654" s="2">
        <v>25260279</v>
      </c>
      <c r="P654" s="1" t="s">
        <v>27</v>
      </c>
    </row>
    <row r="655" spans="1:16" outlineLevel="1">
      <c r="A655" s="13" t="s">
        <v>1493</v>
      </c>
      <c r="M655" s="2">
        <f>SUBTOTAL(9,M654:M654)</f>
        <v>0</v>
      </c>
      <c r="N655" s="2">
        <f>SUBTOTAL(9,N654:N654)</f>
        <v>0</v>
      </c>
    </row>
    <row r="656" spans="1:16" outlineLevel="2">
      <c r="A656" s="1" t="s">
        <v>1174</v>
      </c>
      <c r="B656" s="1" t="s">
        <v>1175</v>
      </c>
      <c r="C656" s="1" t="s">
        <v>1176</v>
      </c>
      <c r="D656" s="2">
        <v>10766127</v>
      </c>
      <c r="E656" s="1" t="s">
        <v>18</v>
      </c>
      <c r="F656" s="3" t="s">
        <v>19</v>
      </c>
      <c r="G656" s="4" t="s">
        <v>20</v>
      </c>
      <c r="H656" s="1" t="s">
        <v>21</v>
      </c>
      <c r="I656" s="1" t="s">
        <v>22</v>
      </c>
      <c r="J656" s="1" t="s">
        <v>23</v>
      </c>
      <c r="K656" s="2" t="s">
        <v>24</v>
      </c>
      <c r="L656" s="1" t="s">
        <v>25</v>
      </c>
      <c r="M656" s="2" t="s">
        <v>26</v>
      </c>
      <c r="N656" s="2" t="s">
        <v>26</v>
      </c>
      <c r="O656" s="2">
        <v>10766127</v>
      </c>
      <c r="P656" s="1" t="s">
        <v>27</v>
      </c>
    </row>
    <row r="657" spans="1:16" outlineLevel="1">
      <c r="A657" s="13" t="s">
        <v>1494</v>
      </c>
      <c r="M657" s="2">
        <f>SUBTOTAL(9,M656:M656)</f>
        <v>0</v>
      </c>
      <c r="N657" s="2">
        <f>SUBTOTAL(9,N656:N656)</f>
        <v>0</v>
      </c>
    </row>
    <row r="658" spans="1:16" outlineLevel="2">
      <c r="A658" s="1" t="s">
        <v>1177</v>
      </c>
      <c r="B658" s="1" t="s">
        <v>1178</v>
      </c>
      <c r="C658" s="1" t="s">
        <v>1179</v>
      </c>
      <c r="D658" s="2">
        <v>1459461</v>
      </c>
      <c r="E658" s="1" t="s">
        <v>1180</v>
      </c>
      <c r="F658" s="3">
        <v>46219</v>
      </c>
      <c r="G658" s="4">
        <v>800135913</v>
      </c>
      <c r="H658" s="1" t="s">
        <v>391</v>
      </c>
      <c r="I658" s="1" t="s">
        <v>1181</v>
      </c>
      <c r="J658" s="1" t="s">
        <v>23</v>
      </c>
      <c r="K658" s="2" t="s">
        <v>24</v>
      </c>
      <c r="L658" s="1" t="s">
        <v>931</v>
      </c>
      <c r="M658" s="2">
        <v>228163</v>
      </c>
      <c r="N658" s="2" t="s">
        <v>26</v>
      </c>
      <c r="O658" s="2">
        <v>1687624</v>
      </c>
      <c r="P658" s="1" t="s">
        <v>27</v>
      </c>
    </row>
    <row r="659" spans="1:16" outlineLevel="1">
      <c r="A659" s="13" t="s">
        <v>1495</v>
      </c>
      <c r="M659" s="2">
        <f>SUBTOTAL(9,M658:M658)</f>
        <v>228163</v>
      </c>
      <c r="N659" s="2">
        <f>SUBTOTAL(9,N658:N658)</f>
        <v>0</v>
      </c>
    </row>
    <row r="660" spans="1:16" outlineLevel="2">
      <c r="A660" s="1" t="s">
        <v>1182</v>
      </c>
      <c r="B660" s="1" t="s">
        <v>1183</v>
      </c>
      <c r="C660" s="1" t="s">
        <v>1184</v>
      </c>
      <c r="D660" s="2">
        <v>25308030</v>
      </c>
      <c r="E660" s="1" t="s">
        <v>1185</v>
      </c>
      <c r="F660" s="3">
        <v>46208</v>
      </c>
      <c r="G660" s="4">
        <v>817001892</v>
      </c>
      <c r="H660" s="1" t="s">
        <v>347</v>
      </c>
      <c r="I660" s="1" t="s">
        <v>1186</v>
      </c>
      <c r="J660" s="1" t="s">
        <v>23</v>
      </c>
      <c r="K660" s="2" t="s">
        <v>24</v>
      </c>
      <c r="L660" s="1" t="s">
        <v>931</v>
      </c>
      <c r="M660" s="2">
        <v>4118790</v>
      </c>
      <c r="N660" s="2" t="s">
        <v>26</v>
      </c>
      <c r="O660" s="2">
        <v>29426820</v>
      </c>
      <c r="P660" s="1" t="s">
        <v>27</v>
      </c>
    </row>
    <row r="661" spans="1:16" outlineLevel="1">
      <c r="A661" s="13" t="s">
        <v>1496</v>
      </c>
      <c r="M661" s="2">
        <f>SUBTOTAL(9,M660:M660)</f>
        <v>4118790</v>
      </c>
      <c r="N661" s="2">
        <f>SUBTOTAL(9,N660:N660)</f>
        <v>0</v>
      </c>
    </row>
    <row r="662" spans="1:16" outlineLevel="2">
      <c r="A662" s="1" t="s">
        <v>1187</v>
      </c>
      <c r="B662" s="1" t="s">
        <v>1188</v>
      </c>
      <c r="C662" s="1" t="s">
        <v>1189</v>
      </c>
      <c r="D662" s="2">
        <v>66250</v>
      </c>
      <c r="E662" s="1" t="s">
        <v>18</v>
      </c>
      <c r="F662" s="3" t="s">
        <v>19</v>
      </c>
      <c r="G662" s="4" t="s">
        <v>20</v>
      </c>
      <c r="H662" s="1" t="s">
        <v>21</v>
      </c>
      <c r="I662" s="1" t="s">
        <v>22</v>
      </c>
      <c r="J662" s="1" t="s">
        <v>23</v>
      </c>
      <c r="K662" s="2" t="s">
        <v>24</v>
      </c>
      <c r="L662" s="1" t="s">
        <v>25</v>
      </c>
      <c r="M662" s="2" t="s">
        <v>26</v>
      </c>
      <c r="N662" s="2" t="s">
        <v>26</v>
      </c>
      <c r="O662" s="2">
        <v>66250</v>
      </c>
      <c r="P662" s="1" t="s">
        <v>27</v>
      </c>
    </row>
    <row r="663" spans="1:16" outlineLevel="1">
      <c r="A663" s="13" t="s">
        <v>1497</v>
      </c>
      <c r="M663" s="2">
        <f>SUBTOTAL(9,M662:M662)</f>
        <v>0</v>
      </c>
      <c r="N663" s="2">
        <f>SUBTOTAL(9,N662:N662)</f>
        <v>0</v>
      </c>
    </row>
    <row r="664" spans="1:16" outlineLevel="2">
      <c r="A664" s="1" t="s">
        <v>1190</v>
      </c>
      <c r="B664" s="1" t="s">
        <v>1191</v>
      </c>
      <c r="C664" s="1" t="s">
        <v>1192</v>
      </c>
      <c r="D664" s="2">
        <v>8131348</v>
      </c>
      <c r="E664" s="1" t="s">
        <v>18</v>
      </c>
      <c r="F664" s="3" t="s">
        <v>19</v>
      </c>
      <c r="G664" s="4" t="s">
        <v>20</v>
      </c>
      <c r="H664" s="1" t="s">
        <v>21</v>
      </c>
      <c r="I664" s="1" t="s">
        <v>22</v>
      </c>
      <c r="J664" s="1" t="s">
        <v>23</v>
      </c>
      <c r="K664" s="2" t="s">
        <v>24</v>
      </c>
      <c r="L664" s="1" t="s">
        <v>25</v>
      </c>
      <c r="M664" s="2" t="s">
        <v>26</v>
      </c>
      <c r="N664" s="2" t="s">
        <v>26</v>
      </c>
      <c r="O664" s="2">
        <v>8131348</v>
      </c>
      <c r="P664" s="1" t="s">
        <v>27</v>
      </c>
    </row>
    <row r="665" spans="1:16" outlineLevel="1">
      <c r="A665" s="13" t="s">
        <v>1498</v>
      </c>
      <c r="M665" s="2">
        <f>SUBTOTAL(9,M664:M664)</f>
        <v>0</v>
      </c>
      <c r="N665" s="2">
        <f>SUBTOTAL(9,N664:N664)</f>
        <v>0</v>
      </c>
    </row>
    <row r="666" spans="1:16" outlineLevel="2">
      <c r="A666" s="1" t="s">
        <v>1193</v>
      </c>
      <c r="B666" s="1" t="s">
        <v>1194</v>
      </c>
      <c r="C666" s="1" t="s">
        <v>1195</v>
      </c>
      <c r="D666" s="2">
        <v>0</v>
      </c>
      <c r="E666" s="1" t="s">
        <v>1196</v>
      </c>
      <c r="F666" s="3">
        <v>46234</v>
      </c>
      <c r="G666" s="4">
        <v>1050038514</v>
      </c>
      <c r="H666" s="1" t="s">
        <v>819</v>
      </c>
      <c r="I666" s="1" t="s">
        <v>820</v>
      </c>
      <c r="J666" s="1" t="s">
        <v>23</v>
      </c>
      <c r="K666" s="2" t="s">
        <v>24</v>
      </c>
      <c r="L666" s="1" t="s">
        <v>931</v>
      </c>
      <c r="M666" s="2">
        <v>33613</v>
      </c>
      <c r="N666" s="2" t="s">
        <v>26</v>
      </c>
      <c r="O666" s="2">
        <v>33613</v>
      </c>
      <c r="P666" s="1" t="s">
        <v>27</v>
      </c>
    </row>
    <row r="667" spans="1:16" outlineLevel="1">
      <c r="A667" s="13" t="s">
        <v>1499</v>
      </c>
      <c r="M667" s="2">
        <f>SUBTOTAL(9,M666:M666)</f>
        <v>33613</v>
      </c>
      <c r="N667" s="2">
        <f>SUBTOTAL(9,N666:N666)</f>
        <v>0</v>
      </c>
    </row>
    <row r="668" spans="1:16" outlineLevel="2">
      <c r="A668" s="1" t="s">
        <v>1197</v>
      </c>
      <c r="B668" s="1" t="s">
        <v>1198</v>
      </c>
      <c r="C668" s="1" t="s">
        <v>1199</v>
      </c>
      <c r="D668" s="2">
        <v>9385419</v>
      </c>
      <c r="E668" s="1" t="s">
        <v>18</v>
      </c>
      <c r="F668" s="3" t="s">
        <v>19</v>
      </c>
      <c r="G668" s="4" t="s">
        <v>20</v>
      </c>
      <c r="H668" s="1" t="s">
        <v>21</v>
      </c>
      <c r="I668" s="1" t="s">
        <v>22</v>
      </c>
      <c r="J668" s="1" t="s">
        <v>23</v>
      </c>
      <c r="K668" s="2" t="s">
        <v>24</v>
      </c>
      <c r="L668" s="1" t="s">
        <v>25</v>
      </c>
      <c r="M668" s="2" t="s">
        <v>26</v>
      </c>
      <c r="N668" s="2" t="s">
        <v>26</v>
      </c>
      <c r="O668" s="2">
        <v>9385419</v>
      </c>
      <c r="P668" s="1" t="s">
        <v>27</v>
      </c>
    </row>
    <row r="669" spans="1:16" outlineLevel="1">
      <c r="A669" s="13" t="s">
        <v>1500</v>
      </c>
      <c r="M669" s="2">
        <f>SUBTOTAL(9,M668:M668)</f>
        <v>0</v>
      </c>
      <c r="N669" s="2">
        <f>SUBTOTAL(9,N668:N668)</f>
        <v>0</v>
      </c>
    </row>
    <row r="670" spans="1:16" outlineLevel="2">
      <c r="A670" s="1" t="s">
        <v>1200</v>
      </c>
      <c r="B670" s="1" t="s">
        <v>1201</v>
      </c>
      <c r="C670" s="1" t="s">
        <v>1202</v>
      </c>
      <c r="D670" s="2">
        <v>20139650</v>
      </c>
      <c r="E670" s="1" t="s">
        <v>1203</v>
      </c>
      <c r="F670" s="3">
        <v>46210</v>
      </c>
      <c r="G670" s="4">
        <v>8738279</v>
      </c>
      <c r="H670" s="1" t="s">
        <v>352</v>
      </c>
      <c r="I670" s="1" t="s">
        <v>1204</v>
      </c>
      <c r="J670" s="1" t="s">
        <v>23</v>
      </c>
      <c r="K670" s="2" t="s">
        <v>24</v>
      </c>
      <c r="L670" s="1" t="s">
        <v>931</v>
      </c>
      <c r="M670" s="2">
        <v>5000000</v>
      </c>
      <c r="N670" s="2" t="s">
        <v>26</v>
      </c>
      <c r="O670" s="2">
        <v>25139650</v>
      </c>
      <c r="P670" s="1" t="s">
        <v>27</v>
      </c>
    </row>
    <row r="671" spans="1:16" outlineLevel="2">
      <c r="A671" s="1" t="s">
        <v>1200</v>
      </c>
      <c r="B671" s="1" t="s">
        <v>1201</v>
      </c>
      <c r="C671" s="1" t="s">
        <v>1202</v>
      </c>
      <c r="D671" s="2">
        <v>20139650</v>
      </c>
      <c r="E671" s="1" t="s">
        <v>1205</v>
      </c>
      <c r="F671" s="3">
        <v>46219</v>
      </c>
      <c r="G671" s="4">
        <v>8799534</v>
      </c>
      <c r="H671" s="1" t="s">
        <v>337</v>
      </c>
      <c r="I671" s="1" t="s">
        <v>1206</v>
      </c>
      <c r="J671" s="1" t="s">
        <v>23</v>
      </c>
      <c r="K671" s="2" t="s">
        <v>24</v>
      </c>
      <c r="L671" s="1" t="s">
        <v>931</v>
      </c>
      <c r="M671" s="2">
        <v>1750000</v>
      </c>
      <c r="N671" s="2" t="s">
        <v>26</v>
      </c>
      <c r="O671" s="2">
        <v>26889650</v>
      </c>
      <c r="P671" s="1" t="s">
        <v>27</v>
      </c>
    </row>
    <row r="672" spans="1:16" outlineLevel="2">
      <c r="A672" s="1" t="s">
        <v>1200</v>
      </c>
      <c r="B672" s="1" t="s">
        <v>1201</v>
      </c>
      <c r="C672" s="1" t="s">
        <v>1202</v>
      </c>
      <c r="D672" s="2">
        <v>20139650</v>
      </c>
      <c r="E672" s="1" t="s">
        <v>1207</v>
      </c>
      <c r="F672" s="3">
        <v>46230</v>
      </c>
      <c r="G672" s="4">
        <v>72045410</v>
      </c>
      <c r="H672" s="1" t="s">
        <v>413</v>
      </c>
      <c r="I672" s="1" t="s">
        <v>1208</v>
      </c>
      <c r="J672" s="1" t="s">
        <v>23</v>
      </c>
      <c r="K672" s="2" t="s">
        <v>24</v>
      </c>
      <c r="L672" s="1" t="s">
        <v>931</v>
      </c>
      <c r="M672" s="2">
        <v>1750000</v>
      </c>
      <c r="N672" s="2" t="s">
        <v>26</v>
      </c>
      <c r="O672" s="2">
        <v>28639650</v>
      </c>
      <c r="P672" s="1" t="s">
        <v>27</v>
      </c>
    </row>
    <row r="673" spans="1:16" outlineLevel="2">
      <c r="A673" s="1" t="s">
        <v>1200</v>
      </c>
      <c r="B673" s="1" t="s">
        <v>1201</v>
      </c>
      <c r="C673" s="1" t="s">
        <v>1202</v>
      </c>
      <c r="D673" s="2">
        <v>20139650</v>
      </c>
      <c r="E673" s="1" t="s">
        <v>1209</v>
      </c>
      <c r="F673" s="3">
        <v>46234</v>
      </c>
      <c r="G673" s="4">
        <v>1050038514</v>
      </c>
      <c r="H673" s="1" t="s">
        <v>819</v>
      </c>
      <c r="I673" s="1" t="s">
        <v>822</v>
      </c>
      <c r="J673" s="1" t="s">
        <v>23</v>
      </c>
      <c r="K673" s="2" t="s">
        <v>24</v>
      </c>
      <c r="L673" s="1" t="s">
        <v>931</v>
      </c>
      <c r="M673" s="2">
        <v>33613</v>
      </c>
      <c r="N673" s="2" t="s">
        <v>26</v>
      </c>
      <c r="O673" s="2">
        <v>28673263</v>
      </c>
      <c r="P673" s="1" t="s">
        <v>27</v>
      </c>
    </row>
    <row r="674" spans="1:16" outlineLevel="1">
      <c r="A674" s="13" t="s">
        <v>1501</v>
      </c>
      <c r="M674" s="2">
        <f>SUBTOTAL(9,M670:M673)</f>
        <v>8533613</v>
      </c>
      <c r="N674" s="2">
        <f>SUBTOTAL(9,N670:N673)</f>
        <v>0</v>
      </c>
    </row>
    <row r="675" spans="1:16" outlineLevel="2">
      <c r="A675" s="1" t="s">
        <v>1210</v>
      </c>
      <c r="B675" s="1" t="s">
        <v>1211</v>
      </c>
      <c r="C675" s="1" t="s">
        <v>1212</v>
      </c>
      <c r="D675" s="2">
        <v>6365000</v>
      </c>
      <c r="E675" s="1" t="s">
        <v>18</v>
      </c>
      <c r="F675" s="3" t="s">
        <v>19</v>
      </c>
      <c r="G675" s="4" t="s">
        <v>20</v>
      </c>
      <c r="H675" s="1" t="s">
        <v>21</v>
      </c>
      <c r="I675" s="1" t="s">
        <v>22</v>
      </c>
      <c r="J675" s="1" t="s">
        <v>23</v>
      </c>
      <c r="K675" s="2" t="s">
        <v>24</v>
      </c>
      <c r="L675" s="1" t="s">
        <v>25</v>
      </c>
      <c r="M675" s="2" t="s">
        <v>26</v>
      </c>
      <c r="N675" s="2" t="s">
        <v>26</v>
      </c>
      <c r="O675" s="2">
        <v>6365000</v>
      </c>
      <c r="P675" s="1" t="s">
        <v>27</v>
      </c>
    </row>
    <row r="676" spans="1:16" outlineLevel="1">
      <c r="A676" s="13" t="s">
        <v>1502</v>
      </c>
      <c r="M676" s="2">
        <f>SUBTOTAL(9,M675:M675)</f>
        <v>0</v>
      </c>
      <c r="N676" s="2">
        <f>SUBTOTAL(9,N675:N675)</f>
        <v>0</v>
      </c>
    </row>
    <row r="677" spans="1:16" outlineLevel="2">
      <c r="A677" s="1" t="s">
        <v>1213</v>
      </c>
      <c r="B677" s="1" t="s">
        <v>1214</v>
      </c>
      <c r="C677" s="1" t="s">
        <v>1215</v>
      </c>
      <c r="D677" s="2">
        <v>19278810</v>
      </c>
      <c r="E677" s="1" t="s">
        <v>1216</v>
      </c>
      <c r="F677" s="3">
        <v>46204</v>
      </c>
      <c r="G677" s="4">
        <v>8799534</v>
      </c>
      <c r="H677" s="1" t="s">
        <v>337</v>
      </c>
      <c r="I677" s="1" t="s">
        <v>1217</v>
      </c>
      <c r="J677" s="1" t="s">
        <v>23</v>
      </c>
      <c r="K677" s="2" t="s">
        <v>24</v>
      </c>
      <c r="L677" s="1" t="s">
        <v>931</v>
      </c>
      <c r="M677" s="2">
        <v>1750000</v>
      </c>
      <c r="N677" s="2" t="s">
        <v>26</v>
      </c>
      <c r="O677" s="2">
        <v>21028810</v>
      </c>
      <c r="P677" s="1" t="s">
        <v>27</v>
      </c>
    </row>
    <row r="678" spans="1:16" outlineLevel="2">
      <c r="A678" s="1" t="s">
        <v>1213</v>
      </c>
      <c r="B678" s="1" t="s">
        <v>1214</v>
      </c>
      <c r="C678" s="1" t="s">
        <v>1215</v>
      </c>
      <c r="D678" s="2">
        <v>19278810</v>
      </c>
      <c r="E678" s="1" t="s">
        <v>1218</v>
      </c>
      <c r="F678" s="3">
        <v>46213</v>
      </c>
      <c r="G678" s="4">
        <v>901465587</v>
      </c>
      <c r="H678" s="1" t="s">
        <v>377</v>
      </c>
      <c r="I678" s="1" t="s">
        <v>561</v>
      </c>
      <c r="J678" s="1" t="s">
        <v>23</v>
      </c>
      <c r="K678" s="2" t="s">
        <v>24</v>
      </c>
      <c r="L678" s="1" t="s">
        <v>931</v>
      </c>
      <c r="M678" s="2">
        <v>1250000</v>
      </c>
      <c r="N678" s="2" t="s">
        <v>26</v>
      </c>
      <c r="O678" s="2">
        <v>22278810</v>
      </c>
      <c r="P678" s="1" t="s">
        <v>27</v>
      </c>
    </row>
    <row r="679" spans="1:16" outlineLevel="2">
      <c r="A679" s="1" t="s">
        <v>1213</v>
      </c>
      <c r="B679" s="1" t="s">
        <v>1214</v>
      </c>
      <c r="C679" s="1" t="s">
        <v>1215</v>
      </c>
      <c r="D679" s="2">
        <v>19278810</v>
      </c>
      <c r="E679" s="1" t="s">
        <v>1219</v>
      </c>
      <c r="F679" s="3">
        <v>46213</v>
      </c>
      <c r="G679" s="4">
        <v>72311773</v>
      </c>
      <c r="H679" s="1" t="s">
        <v>208</v>
      </c>
      <c r="I679" s="1" t="s">
        <v>1220</v>
      </c>
      <c r="J679" s="1" t="s">
        <v>23</v>
      </c>
      <c r="K679" s="2" t="s">
        <v>24</v>
      </c>
      <c r="L679" s="1" t="s">
        <v>931</v>
      </c>
      <c r="M679" s="2">
        <v>1000000</v>
      </c>
      <c r="N679" s="2" t="s">
        <v>26</v>
      </c>
      <c r="O679" s="2">
        <v>23278810</v>
      </c>
      <c r="P679" s="1" t="s">
        <v>27</v>
      </c>
    </row>
    <row r="680" spans="1:16" outlineLevel="2">
      <c r="A680" s="1" t="s">
        <v>1213</v>
      </c>
      <c r="B680" s="1" t="s">
        <v>1214</v>
      </c>
      <c r="C680" s="1" t="s">
        <v>1215</v>
      </c>
      <c r="D680" s="2">
        <v>19278810</v>
      </c>
      <c r="E680" s="1" t="s">
        <v>1221</v>
      </c>
      <c r="F680" s="3">
        <v>46224</v>
      </c>
      <c r="G680" s="4">
        <v>72045410</v>
      </c>
      <c r="H680" s="1" t="s">
        <v>413</v>
      </c>
      <c r="I680" s="1" t="s">
        <v>1222</v>
      </c>
      <c r="J680" s="1" t="s">
        <v>23</v>
      </c>
      <c r="K680" s="2" t="s">
        <v>24</v>
      </c>
      <c r="L680" s="1" t="s">
        <v>931</v>
      </c>
      <c r="M680" s="2">
        <v>1750000</v>
      </c>
      <c r="N680" s="2" t="s">
        <v>26</v>
      </c>
      <c r="O680" s="2">
        <v>25028810</v>
      </c>
      <c r="P680" s="1" t="s">
        <v>27</v>
      </c>
    </row>
    <row r="681" spans="1:16" outlineLevel="1">
      <c r="A681" s="13" t="s">
        <v>1503</v>
      </c>
      <c r="M681" s="2">
        <f>SUBTOTAL(9,M677:M680)</f>
        <v>5750000</v>
      </c>
      <c r="N681" s="2">
        <f>SUBTOTAL(9,N677:N680)</f>
        <v>0</v>
      </c>
    </row>
    <row r="682" spans="1:16" outlineLevel="2">
      <c r="A682" s="1" t="s">
        <v>1223</v>
      </c>
      <c r="B682" s="1" t="s">
        <v>1224</v>
      </c>
      <c r="C682" s="1" t="s">
        <v>1225</v>
      </c>
      <c r="D682" s="2">
        <v>648740</v>
      </c>
      <c r="E682" s="1" t="s">
        <v>1226</v>
      </c>
      <c r="F682" s="3">
        <v>46212</v>
      </c>
      <c r="G682" s="4">
        <v>8765600</v>
      </c>
      <c r="H682" s="1" t="s">
        <v>365</v>
      </c>
      <c r="I682" s="1" t="s">
        <v>559</v>
      </c>
      <c r="J682" s="1" t="s">
        <v>23</v>
      </c>
      <c r="K682" s="2" t="s">
        <v>24</v>
      </c>
      <c r="L682" s="1" t="s">
        <v>931</v>
      </c>
      <c r="M682" s="2">
        <v>315000</v>
      </c>
      <c r="N682" s="2" t="s">
        <v>26</v>
      </c>
      <c r="O682" s="2">
        <v>963740</v>
      </c>
      <c r="P682" s="1" t="s">
        <v>27</v>
      </c>
    </row>
    <row r="683" spans="1:16" outlineLevel="2">
      <c r="A683" s="1" t="s">
        <v>1223</v>
      </c>
      <c r="B683" s="1" t="s">
        <v>1224</v>
      </c>
      <c r="C683" s="1" t="s">
        <v>1225</v>
      </c>
      <c r="D683" s="2">
        <v>648740</v>
      </c>
      <c r="E683" s="1" t="s">
        <v>1227</v>
      </c>
      <c r="F683" s="3">
        <v>46212</v>
      </c>
      <c r="G683" s="4">
        <v>8765600</v>
      </c>
      <c r="H683" s="1" t="s">
        <v>365</v>
      </c>
      <c r="I683" s="1" t="s">
        <v>1228</v>
      </c>
      <c r="J683" s="1" t="s">
        <v>23</v>
      </c>
      <c r="K683" s="2" t="s">
        <v>24</v>
      </c>
      <c r="L683" s="1" t="s">
        <v>931</v>
      </c>
      <c r="M683" s="2">
        <v>105000</v>
      </c>
      <c r="N683" s="2" t="s">
        <v>26</v>
      </c>
      <c r="O683" s="2">
        <v>1068740</v>
      </c>
      <c r="P683" s="1" t="s">
        <v>27</v>
      </c>
    </row>
    <row r="684" spans="1:16" outlineLevel="1">
      <c r="A684" s="13" t="s">
        <v>1504</v>
      </c>
      <c r="M684" s="2">
        <f>SUBTOTAL(9,M682:M683)</f>
        <v>420000</v>
      </c>
      <c r="N684" s="2">
        <f>SUBTOTAL(9,N682:N683)</f>
        <v>0</v>
      </c>
    </row>
    <row r="685" spans="1:16" outlineLevel="2">
      <c r="A685" s="1" t="s">
        <v>1229</v>
      </c>
      <c r="B685" s="1" t="s">
        <v>1230</v>
      </c>
      <c r="C685" s="1" t="s">
        <v>327</v>
      </c>
      <c r="D685" s="2">
        <v>8889823</v>
      </c>
      <c r="E685" s="1" t="s">
        <v>18</v>
      </c>
      <c r="F685" s="3" t="s">
        <v>19</v>
      </c>
      <c r="G685" s="4" t="s">
        <v>20</v>
      </c>
      <c r="H685" s="1" t="s">
        <v>21</v>
      </c>
      <c r="I685" s="1" t="s">
        <v>22</v>
      </c>
      <c r="J685" s="1" t="s">
        <v>23</v>
      </c>
      <c r="K685" s="2" t="s">
        <v>24</v>
      </c>
      <c r="L685" s="1" t="s">
        <v>25</v>
      </c>
      <c r="M685" s="2" t="s">
        <v>26</v>
      </c>
      <c r="N685" s="2" t="s">
        <v>26</v>
      </c>
      <c r="O685" s="2">
        <v>8889823</v>
      </c>
      <c r="P685" s="1" t="s">
        <v>27</v>
      </c>
    </row>
    <row r="686" spans="1:16" outlineLevel="1">
      <c r="A686" s="13" t="s">
        <v>1505</v>
      </c>
      <c r="M686" s="2">
        <f>SUBTOTAL(9,M685:M685)</f>
        <v>0</v>
      </c>
      <c r="N686" s="2">
        <f>SUBTOTAL(9,N685:N685)</f>
        <v>0</v>
      </c>
    </row>
    <row r="687" spans="1:16" outlineLevel="2">
      <c r="A687" s="1" t="s">
        <v>1231</v>
      </c>
      <c r="B687" s="1" t="s">
        <v>1232</v>
      </c>
      <c r="C687" s="1" t="s">
        <v>1233</v>
      </c>
      <c r="D687" s="2">
        <v>863000</v>
      </c>
      <c r="E687" s="1" t="s">
        <v>18</v>
      </c>
      <c r="F687" s="3" t="s">
        <v>19</v>
      </c>
      <c r="G687" s="4" t="s">
        <v>20</v>
      </c>
      <c r="H687" s="1" t="s">
        <v>21</v>
      </c>
      <c r="I687" s="1" t="s">
        <v>22</v>
      </c>
      <c r="J687" s="1" t="s">
        <v>23</v>
      </c>
      <c r="K687" s="2" t="s">
        <v>24</v>
      </c>
      <c r="L687" s="1" t="s">
        <v>25</v>
      </c>
      <c r="M687" s="2" t="s">
        <v>26</v>
      </c>
      <c r="N687" s="2" t="s">
        <v>26</v>
      </c>
      <c r="O687" s="2">
        <v>863000</v>
      </c>
      <c r="P687" s="1" t="s">
        <v>27</v>
      </c>
    </row>
    <row r="688" spans="1:16" outlineLevel="1">
      <c r="A688" s="13" t="s">
        <v>1506</v>
      </c>
      <c r="M688" s="2">
        <f>SUBTOTAL(9,M687:M687)</f>
        <v>0</v>
      </c>
      <c r="N688" s="2">
        <f>SUBTOTAL(9,N687:N687)</f>
        <v>0</v>
      </c>
    </row>
    <row r="689" spans="1:16" outlineLevel="2">
      <c r="A689" s="1" t="s">
        <v>1234</v>
      </c>
      <c r="B689" s="1" t="s">
        <v>1235</v>
      </c>
      <c r="C689" s="1" t="s">
        <v>1236</v>
      </c>
      <c r="D689" s="2">
        <v>509000</v>
      </c>
      <c r="E689" s="1" t="s">
        <v>18</v>
      </c>
      <c r="F689" s="3" t="s">
        <v>19</v>
      </c>
      <c r="G689" s="4" t="s">
        <v>20</v>
      </c>
      <c r="H689" s="1" t="s">
        <v>21</v>
      </c>
      <c r="I689" s="1" t="s">
        <v>22</v>
      </c>
      <c r="J689" s="1" t="s">
        <v>23</v>
      </c>
      <c r="K689" s="2" t="s">
        <v>24</v>
      </c>
      <c r="L689" s="1" t="s">
        <v>25</v>
      </c>
      <c r="M689" s="2" t="s">
        <v>26</v>
      </c>
      <c r="N689" s="2" t="s">
        <v>26</v>
      </c>
      <c r="O689" s="2">
        <v>509000</v>
      </c>
      <c r="P689" s="1" t="s">
        <v>27</v>
      </c>
    </row>
    <row r="690" spans="1:16" outlineLevel="1">
      <c r="A690" s="13" t="s">
        <v>1507</v>
      </c>
      <c r="M690" s="2">
        <f>SUBTOTAL(9,M689:M689)</f>
        <v>0</v>
      </c>
      <c r="N690" s="2">
        <f>SUBTOTAL(9,N689:N689)</f>
        <v>0</v>
      </c>
    </row>
    <row r="691" spans="1:16" outlineLevel="2">
      <c r="A691" s="1" t="s">
        <v>1237</v>
      </c>
      <c r="B691" s="1" t="s">
        <v>1238</v>
      </c>
      <c r="C691" s="1" t="s">
        <v>1239</v>
      </c>
      <c r="D691" s="2">
        <v>2353992.81</v>
      </c>
      <c r="E691" s="1" t="s">
        <v>1240</v>
      </c>
      <c r="F691" s="3">
        <v>46224</v>
      </c>
      <c r="G691" s="4">
        <v>900475439</v>
      </c>
      <c r="H691" s="1" t="s">
        <v>425</v>
      </c>
      <c r="I691" s="1" t="s">
        <v>772</v>
      </c>
      <c r="J691" s="1" t="s">
        <v>23</v>
      </c>
      <c r="K691" s="2" t="s">
        <v>24</v>
      </c>
      <c r="L691" s="1" t="s">
        <v>931</v>
      </c>
      <c r="M691" s="2">
        <v>287343</v>
      </c>
      <c r="N691" s="2" t="s">
        <v>26</v>
      </c>
      <c r="O691" s="2">
        <v>2641335.81</v>
      </c>
      <c r="P691" s="1" t="s">
        <v>27</v>
      </c>
    </row>
    <row r="692" spans="1:16" outlineLevel="2">
      <c r="A692" s="1" t="s">
        <v>1237</v>
      </c>
      <c r="B692" s="1" t="s">
        <v>1238</v>
      </c>
      <c r="C692" s="1" t="s">
        <v>1239</v>
      </c>
      <c r="D692" s="2">
        <v>2353992.81</v>
      </c>
      <c r="E692" s="1" t="s">
        <v>1241</v>
      </c>
      <c r="F692" s="3">
        <v>46233</v>
      </c>
      <c r="G692" s="4">
        <v>900276962</v>
      </c>
      <c r="H692" s="1" t="s">
        <v>461</v>
      </c>
      <c r="I692" s="1" t="s">
        <v>775</v>
      </c>
      <c r="J692" s="1" t="s">
        <v>23</v>
      </c>
      <c r="K692" s="2" t="s">
        <v>24</v>
      </c>
      <c r="L692" s="1" t="s">
        <v>931</v>
      </c>
      <c r="M692" s="2">
        <v>72780.33</v>
      </c>
      <c r="N692" s="2" t="s">
        <v>26</v>
      </c>
      <c r="O692" s="2">
        <v>2714116.14</v>
      </c>
      <c r="P692" s="1" t="s">
        <v>27</v>
      </c>
    </row>
    <row r="693" spans="1:16" outlineLevel="2">
      <c r="A693" s="1" t="s">
        <v>1237</v>
      </c>
      <c r="B693" s="1" t="s">
        <v>1238</v>
      </c>
      <c r="C693" s="1" t="s">
        <v>1239</v>
      </c>
      <c r="D693" s="2">
        <v>2353992.81</v>
      </c>
      <c r="E693" s="1" t="s">
        <v>1242</v>
      </c>
      <c r="F693" s="3">
        <v>46233</v>
      </c>
      <c r="G693" s="4">
        <v>901564924</v>
      </c>
      <c r="H693" s="1" t="s">
        <v>780</v>
      </c>
      <c r="I693" s="1" t="s">
        <v>781</v>
      </c>
      <c r="J693" s="1" t="s">
        <v>23</v>
      </c>
      <c r="K693" s="2" t="s">
        <v>24</v>
      </c>
      <c r="L693" s="1" t="s">
        <v>931</v>
      </c>
      <c r="M693" s="2">
        <v>18487</v>
      </c>
      <c r="N693" s="2" t="s">
        <v>26</v>
      </c>
      <c r="O693" s="2">
        <v>2732603.14</v>
      </c>
      <c r="P693" s="1" t="s">
        <v>27</v>
      </c>
    </row>
    <row r="694" spans="1:16" outlineLevel="1">
      <c r="A694" s="13" t="s">
        <v>1508</v>
      </c>
      <c r="M694" s="2">
        <f>SUBTOTAL(9,M691:M693)</f>
        <v>378610.33</v>
      </c>
      <c r="N694" s="2">
        <f>SUBTOTAL(9,N691:N693)</f>
        <v>0</v>
      </c>
    </row>
    <row r="695" spans="1:16" outlineLevel="2">
      <c r="A695" s="1" t="s">
        <v>1243</v>
      </c>
      <c r="B695" s="1" t="s">
        <v>1244</v>
      </c>
      <c r="C695" s="1" t="s">
        <v>1245</v>
      </c>
      <c r="D695" s="2">
        <v>225000</v>
      </c>
      <c r="E695" s="1" t="s">
        <v>18</v>
      </c>
      <c r="F695" s="3" t="s">
        <v>19</v>
      </c>
      <c r="G695" s="4" t="s">
        <v>20</v>
      </c>
      <c r="H695" s="1" t="s">
        <v>21</v>
      </c>
      <c r="I695" s="1" t="s">
        <v>22</v>
      </c>
      <c r="J695" s="1" t="s">
        <v>23</v>
      </c>
      <c r="K695" s="2" t="s">
        <v>24</v>
      </c>
      <c r="L695" s="1" t="s">
        <v>25</v>
      </c>
      <c r="M695" s="2" t="s">
        <v>26</v>
      </c>
      <c r="N695" s="2" t="s">
        <v>26</v>
      </c>
      <c r="O695" s="2">
        <v>225000</v>
      </c>
      <c r="P695" s="1" t="s">
        <v>27</v>
      </c>
    </row>
    <row r="696" spans="1:16" outlineLevel="1">
      <c r="A696" s="13" t="s">
        <v>1509</v>
      </c>
      <c r="M696" s="2">
        <f>SUBTOTAL(9,M695:M695)</f>
        <v>0</v>
      </c>
      <c r="N696" s="2">
        <f>SUBTOTAL(9,N695:N695)</f>
        <v>0</v>
      </c>
    </row>
    <row r="697" spans="1:16" outlineLevel="2">
      <c r="A697" s="1" t="s">
        <v>1246</v>
      </c>
      <c r="B697" s="1" t="s">
        <v>1247</v>
      </c>
      <c r="C697" s="1" t="s">
        <v>1248</v>
      </c>
      <c r="D697" s="2">
        <v>17951711.420000002</v>
      </c>
      <c r="E697" s="1" t="s">
        <v>1249</v>
      </c>
      <c r="F697" s="3">
        <v>46219</v>
      </c>
      <c r="G697" s="4">
        <v>901075452</v>
      </c>
      <c r="H697" s="1" t="s">
        <v>593</v>
      </c>
      <c r="I697" s="1" t="s">
        <v>594</v>
      </c>
      <c r="J697" s="1" t="s">
        <v>23</v>
      </c>
      <c r="K697" s="2" t="s">
        <v>24</v>
      </c>
      <c r="L697" s="1" t="s">
        <v>931</v>
      </c>
      <c r="M697" s="2">
        <v>50000</v>
      </c>
      <c r="N697" s="2" t="s">
        <v>26</v>
      </c>
      <c r="O697" s="2">
        <v>18001711.420000002</v>
      </c>
      <c r="P697" s="1" t="s">
        <v>27</v>
      </c>
    </row>
    <row r="698" spans="1:16" outlineLevel="2">
      <c r="A698" s="1" t="s">
        <v>1246</v>
      </c>
      <c r="B698" s="1" t="s">
        <v>1247</v>
      </c>
      <c r="C698" s="1" t="s">
        <v>1248</v>
      </c>
      <c r="D698" s="2">
        <v>17951711.420000002</v>
      </c>
      <c r="E698" s="1" t="s">
        <v>1250</v>
      </c>
      <c r="F698" s="3">
        <v>46233</v>
      </c>
      <c r="G698" s="4">
        <v>802017066</v>
      </c>
      <c r="H698" s="1" t="s">
        <v>596</v>
      </c>
      <c r="I698" s="1" t="s">
        <v>597</v>
      </c>
      <c r="J698" s="1" t="s">
        <v>23</v>
      </c>
      <c r="K698" s="2" t="s">
        <v>24</v>
      </c>
      <c r="L698" s="1" t="s">
        <v>931</v>
      </c>
      <c r="M698" s="2">
        <v>100000</v>
      </c>
      <c r="N698" s="2" t="s">
        <v>26</v>
      </c>
      <c r="O698" s="2">
        <v>18101711.420000002</v>
      </c>
      <c r="P698" s="1" t="s">
        <v>27</v>
      </c>
    </row>
    <row r="699" spans="1:16" outlineLevel="2">
      <c r="A699" s="1" t="s">
        <v>1246</v>
      </c>
      <c r="B699" s="1" t="s">
        <v>1247</v>
      </c>
      <c r="C699" s="1" t="s">
        <v>1248</v>
      </c>
      <c r="D699" s="2">
        <v>17951711.420000002</v>
      </c>
      <c r="E699" s="1" t="s">
        <v>1251</v>
      </c>
      <c r="F699" s="3">
        <v>46233</v>
      </c>
      <c r="G699" s="4">
        <v>900491889</v>
      </c>
      <c r="H699" s="1" t="s">
        <v>792</v>
      </c>
      <c r="I699" s="1" t="s">
        <v>1252</v>
      </c>
      <c r="J699" s="1" t="s">
        <v>23</v>
      </c>
      <c r="K699" s="2" t="s">
        <v>24</v>
      </c>
      <c r="L699" s="1" t="s">
        <v>931</v>
      </c>
      <c r="M699" s="2">
        <v>100000</v>
      </c>
      <c r="N699" s="2" t="s">
        <v>26</v>
      </c>
      <c r="O699" s="2">
        <v>18201711.420000002</v>
      </c>
      <c r="P699" s="1" t="s">
        <v>27</v>
      </c>
    </row>
    <row r="700" spans="1:16" outlineLevel="2">
      <c r="A700" s="1" t="s">
        <v>1246</v>
      </c>
      <c r="B700" s="1" t="s">
        <v>1247</v>
      </c>
      <c r="C700" s="1" t="s">
        <v>1248</v>
      </c>
      <c r="D700" s="2">
        <v>17951711.420000002</v>
      </c>
      <c r="E700" s="1" t="s">
        <v>1253</v>
      </c>
      <c r="F700" s="3">
        <v>46233</v>
      </c>
      <c r="G700" s="4">
        <v>901075452</v>
      </c>
      <c r="H700" s="1" t="s">
        <v>593</v>
      </c>
      <c r="I700" s="1" t="s">
        <v>599</v>
      </c>
      <c r="J700" s="1" t="s">
        <v>23</v>
      </c>
      <c r="K700" s="2" t="s">
        <v>24</v>
      </c>
      <c r="L700" s="1" t="s">
        <v>931</v>
      </c>
      <c r="M700" s="2">
        <v>100000</v>
      </c>
      <c r="N700" s="2" t="s">
        <v>26</v>
      </c>
      <c r="O700" s="2">
        <v>18301711.420000002</v>
      </c>
      <c r="P700" s="1" t="s">
        <v>27</v>
      </c>
    </row>
    <row r="701" spans="1:16" outlineLevel="2">
      <c r="A701" s="1" t="s">
        <v>1246</v>
      </c>
      <c r="B701" s="1" t="s">
        <v>1247</v>
      </c>
      <c r="C701" s="1" t="s">
        <v>1248</v>
      </c>
      <c r="D701" s="2">
        <v>17951711.420000002</v>
      </c>
      <c r="E701" s="1" t="s">
        <v>1254</v>
      </c>
      <c r="F701" s="3">
        <v>46233</v>
      </c>
      <c r="G701" s="4">
        <v>901075452</v>
      </c>
      <c r="H701" s="1" t="s">
        <v>593</v>
      </c>
      <c r="I701" s="1" t="s">
        <v>601</v>
      </c>
      <c r="J701" s="1" t="s">
        <v>23</v>
      </c>
      <c r="K701" s="2" t="s">
        <v>24</v>
      </c>
      <c r="L701" s="1" t="s">
        <v>931</v>
      </c>
      <c r="M701" s="2">
        <v>120000</v>
      </c>
      <c r="N701" s="2" t="s">
        <v>26</v>
      </c>
      <c r="O701" s="2">
        <v>18421711.420000002</v>
      </c>
      <c r="P701" s="1" t="s">
        <v>27</v>
      </c>
    </row>
    <row r="702" spans="1:16" outlineLevel="2">
      <c r="A702" s="1" t="s">
        <v>1246</v>
      </c>
      <c r="B702" s="1" t="s">
        <v>1247</v>
      </c>
      <c r="C702" s="1" t="s">
        <v>1248</v>
      </c>
      <c r="D702" s="2">
        <v>17951711.420000002</v>
      </c>
      <c r="E702" s="1" t="s">
        <v>1255</v>
      </c>
      <c r="F702" s="3">
        <v>46233</v>
      </c>
      <c r="G702" s="4">
        <v>901075452</v>
      </c>
      <c r="H702" s="1" t="s">
        <v>593</v>
      </c>
      <c r="I702" s="1" t="s">
        <v>603</v>
      </c>
      <c r="J702" s="1" t="s">
        <v>23</v>
      </c>
      <c r="K702" s="2" t="s">
        <v>24</v>
      </c>
      <c r="L702" s="1" t="s">
        <v>931</v>
      </c>
      <c r="M702" s="2">
        <v>100000</v>
      </c>
      <c r="N702" s="2" t="s">
        <v>26</v>
      </c>
      <c r="O702" s="2">
        <v>18521711.420000002</v>
      </c>
      <c r="P702" s="1" t="s">
        <v>27</v>
      </c>
    </row>
    <row r="703" spans="1:16" outlineLevel="2">
      <c r="A703" s="1" t="s">
        <v>1246</v>
      </c>
      <c r="B703" s="1" t="s">
        <v>1247</v>
      </c>
      <c r="C703" s="1" t="s">
        <v>1248</v>
      </c>
      <c r="D703" s="2">
        <v>17951711.420000002</v>
      </c>
      <c r="E703" s="1" t="s">
        <v>1256</v>
      </c>
      <c r="F703" s="3">
        <v>46233</v>
      </c>
      <c r="G703" s="4">
        <v>901075452</v>
      </c>
      <c r="H703" s="1" t="s">
        <v>593</v>
      </c>
      <c r="I703" s="1" t="s">
        <v>605</v>
      </c>
      <c r="J703" s="1" t="s">
        <v>23</v>
      </c>
      <c r="K703" s="2" t="s">
        <v>24</v>
      </c>
      <c r="L703" s="1" t="s">
        <v>931</v>
      </c>
      <c r="M703" s="2">
        <v>50000</v>
      </c>
      <c r="N703" s="2" t="s">
        <v>26</v>
      </c>
      <c r="O703" s="2">
        <v>18571711.420000002</v>
      </c>
      <c r="P703" s="1" t="s">
        <v>27</v>
      </c>
    </row>
    <row r="704" spans="1:16" outlineLevel="2">
      <c r="A704" s="1" t="s">
        <v>1246</v>
      </c>
      <c r="B704" s="1" t="s">
        <v>1247</v>
      </c>
      <c r="C704" s="1" t="s">
        <v>1248</v>
      </c>
      <c r="D704" s="2">
        <v>17951711.420000002</v>
      </c>
      <c r="E704" s="1" t="s">
        <v>1257</v>
      </c>
      <c r="F704" s="3">
        <v>46233</v>
      </c>
      <c r="G704" s="4">
        <v>901075452</v>
      </c>
      <c r="H704" s="1" t="s">
        <v>593</v>
      </c>
      <c r="I704" s="1" t="s">
        <v>607</v>
      </c>
      <c r="J704" s="1" t="s">
        <v>23</v>
      </c>
      <c r="K704" s="2" t="s">
        <v>24</v>
      </c>
      <c r="L704" s="1" t="s">
        <v>931</v>
      </c>
      <c r="M704" s="2">
        <v>79195</v>
      </c>
      <c r="N704" s="2" t="s">
        <v>26</v>
      </c>
      <c r="O704" s="2">
        <v>18650906.420000002</v>
      </c>
      <c r="P704" s="1" t="s">
        <v>27</v>
      </c>
    </row>
    <row r="705" spans="1:16" outlineLevel="2">
      <c r="A705" s="1" t="s">
        <v>1246</v>
      </c>
      <c r="B705" s="1" t="s">
        <v>1247</v>
      </c>
      <c r="C705" s="1" t="s">
        <v>1248</v>
      </c>
      <c r="D705" s="2">
        <v>17951711.420000002</v>
      </c>
      <c r="E705" s="1" t="s">
        <v>1258</v>
      </c>
      <c r="F705" s="3">
        <v>46233</v>
      </c>
      <c r="G705" s="4">
        <v>802017066</v>
      </c>
      <c r="H705" s="1" t="s">
        <v>596</v>
      </c>
      <c r="I705" s="1" t="s">
        <v>609</v>
      </c>
      <c r="J705" s="1" t="s">
        <v>23</v>
      </c>
      <c r="K705" s="2" t="s">
        <v>24</v>
      </c>
      <c r="L705" s="1" t="s">
        <v>931</v>
      </c>
      <c r="M705" s="2">
        <v>100000</v>
      </c>
      <c r="N705" s="2" t="s">
        <v>26</v>
      </c>
      <c r="O705" s="2">
        <v>18750906.420000002</v>
      </c>
      <c r="P705" s="1" t="s">
        <v>27</v>
      </c>
    </row>
    <row r="706" spans="1:16" outlineLevel="2">
      <c r="A706" s="1" t="s">
        <v>1246</v>
      </c>
      <c r="B706" s="1" t="s">
        <v>1247</v>
      </c>
      <c r="C706" s="1" t="s">
        <v>1248</v>
      </c>
      <c r="D706" s="2">
        <v>17951711.420000002</v>
      </c>
      <c r="E706" s="1" t="s">
        <v>1259</v>
      </c>
      <c r="F706" s="3">
        <v>46233</v>
      </c>
      <c r="G706" s="4">
        <v>900491889</v>
      </c>
      <c r="H706" s="1" t="s">
        <v>792</v>
      </c>
      <c r="I706" s="1" t="s">
        <v>1260</v>
      </c>
      <c r="J706" s="1" t="s">
        <v>23</v>
      </c>
      <c r="K706" s="2" t="s">
        <v>24</v>
      </c>
      <c r="L706" s="1" t="s">
        <v>931</v>
      </c>
      <c r="M706" s="2">
        <v>50000</v>
      </c>
      <c r="N706" s="2" t="s">
        <v>26</v>
      </c>
      <c r="O706" s="2">
        <v>18800906.420000002</v>
      </c>
      <c r="P706" s="1" t="s">
        <v>27</v>
      </c>
    </row>
    <row r="707" spans="1:16" outlineLevel="2">
      <c r="A707" s="1" t="s">
        <v>1246</v>
      </c>
      <c r="B707" s="1" t="s">
        <v>1247</v>
      </c>
      <c r="C707" s="1" t="s">
        <v>1248</v>
      </c>
      <c r="D707" s="2">
        <v>17951711.420000002</v>
      </c>
      <c r="E707" s="1" t="s">
        <v>1261</v>
      </c>
      <c r="F707" s="3">
        <v>46233</v>
      </c>
      <c r="G707" s="4">
        <v>901075452</v>
      </c>
      <c r="H707" s="1" t="s">
        <v>593</v>
      </c>
      <c r="I707" s="1" t="s">
        <v>611</v>
      </c>
      <c r="J707" s="1" t="s">
        <v>23</v>
      </c>
      <c r="K707" s="2" t="s">
        <v>24</v>
      </c>
      <c r="L707" s="1" t="s">
        <v>931</v>
      </c>
      <c r="M707" s="2">
        <v>100000</v>
      </c>
      <c r="N707" s="2" t="s">
        <v>26</v>
      </c>
      <c r="O707" s="2">
        <v>18900906.420000002</v>
      </c>
      <c r="P707" s="1" t="s">
        <v>27</v>
      </c>
    </row>
    <row r="708" spans="1:16" outlineLevel="2">
      <c r="A708" s="1" t="s">
        <v>1246</v>
      </c>
      <c r="B708" s="1" t="s">
        <v>1247</v>
      </c>
      <c r="C708" s="1" t="s">
        <v>1248</v>
      </c>
      <c r="D708" s="2">
        <v>17951711.420000002</v>
      </c>
      <c r="E708" s="1" t="s">
        <v>1262</v>
      </c>
      <c r="F708" s="3">
        <v>46233</v>
      </c>
      <c r="G708" s="4">
        <v>900491889</v>
      </c>
      <c r="H708" s="1" t="s">
        <v>792</v>
      </c>
      <c r="I708" s="1" t="s">
        <v>1263</v>
      </c>
      <c r="J708" s="1" t="s">
        <v>23</v>
      </c>
      <c r="K708" s="2" t="s">
        <v>24</v>
      </c>
      <c r="L708" s="1" t="s">
        <v>931</v>
      </c>
      <c r="M708" s="2">
        <v>52686</v>
      </c>
      <c r="N708" s="2" t="s">
        <v>26</v>
      </c>
      <c r="O708" s="2">
        <v>18953592.420000002</v>
      </c>
      <c r="P708" s="1" t="s">
        <v>27</v>
      </c>
    </row>
    <row r="709" spans="1:16" outlineLevel="2">
      <c r="A709" s="1" t="s">
        <v>1246</v>
      </c>
      <c r="B709" s="1" t="s">
        <v>1247</v>
      </c>
      <c r="C709" s="1" t="s">
        <v>1248</v>
      </c>
      <c r="D709" s="2">
        <v>17951711.420000002</v>
      </c>
      <c r="E709" s="1" t="s">
        <v>1264</v>
      </c>
      <c r="F709" s="3">
        <v>46233</v>
      </c>
      <c r="G709" s="4">
        <v>900021337</v>
      </c>
      <c r="H709" s="1" t="s">
        <v>613</v>
      </c>
      <c r="I709" s="1" t="s">
        <v>614</v>
      </c>
      <c r="J709" s="1" t="s">
        <v>23</v>
      </c>
      <c r="K709" s="2" t="s">
        <v>24</v>
      </c>
      <c r="L709" s="1" t="s">
        <v>931</v>
      </c>
      <c r="M709" s="2">
        <v>15790</v>
      </c>
      <c r="N709" s="2" t="s">
        <v>26</v>
      </c>
      <c r="O709" s="2">
        <v>18969382.420000002</v>
      </c>
      <c r="P709" s="1" t="s">
        <v>27</v>
      </c>
    </row>
    <row r="710" spans="1:16" outlineLevel="2">
      <c r="A710" s="1" t="s">
        <v>1246</v>
      </c>
      <c r="B710" s="1" t="s">
        <v>1247</v>
      </c>
      <c r="C710" s="1" t="s">
        <v>1248</v>
      </c>
      <c r="D710" s="2">
        <v>17951711.420000002</v>
      </c>
      <c r="E710" s="1" t="s">
        <v>1265</v>
      </c>
      <c r="F710" s="3">
        <v>46233</v>
      </c>
      <c r="G710" s="4">
        <v>901075452</v>
      </c>
      <c r="H710" s="1" t="s">
        <v>593</v>
      </c>
      <c r="I710" s="1" t="s">
        <v>616</v>
      </c>
      <c r="J710" s="1" t="s">
        <v>23</v>
      </c>
      <c r="K710" s="2" t="s">
        <v>24</v>
      </c>
      <c r="L710" s="1" t="s">
        <v>931</v>
      </c>
      <c r="M710" s="2">
        <v>100000</v>
      </c>
      <c r="N710" s="2" t="s">
        <v>26</v>
      </c>
      <c r="O710" s="2">
        <v>19069382.420000002</v>
      </c>
      <c r="P710" s="1" t="s">
        <v>27</v>
      </c>
    </row>
    <row r="711" spans="1:16" outlineLevel="2">
      <c r="A711" s="1" t="s">
        <v>1246</v>
      </c>
      <c r="B711" s="1" t="s">
        <v>1247</v>
      </c>
      <c r="C711" s="1" t="s">
        <v>1248</v>
      </c>
      <c r="D711" s="2">
        <v>17951711.420000002</v>
      </c>
      <c r="E711" s="1" t="s">
        <v>1266</v>
      </c>
      <c r="F711" s="3">
        <v>46234</v>
      </c>
      <c r="G711" s="4">
        <v>900491889</v>
      </c>
      <c r="H711" s="1" t="s">
        <v>792</v>
      </c>
      <c r="I711" s="1" t="s">
        <v>793</v>
      </c>
      <c r="J711" s="1" t="s">
        <v>23</v>
      </c>
      <c r="K711" s="2" t="s">
        <v>24</v>
      </c>
      <c r="L711" s="1" t="s">
        <v>931</v>
      </c>
      <c r="M711" s="2">
        <v>28655.46</v>
      </c>
      <c r="N711" s="2" t="s">
        <v>26</v>
      </c>
      <c r="O711" s="2">
        <v>19098037.879999999</v>
      </c>
      <c r="P711" s="1" t="s">
        <v>27</v>
      </c>
    </row>
    <row r="712" spans="1:16" outlineLevel="2">
      <c r="A712" s="1" t="s">
        <v>1246</v>
      </c>
      <c r="B712" s="1" t="s">
        <v>1247</v>
      </c>
      <c r="C712" s="1" t="s">
        <v>1248</v>
      </c>
      <c r="D712" s="2">
        <v>17951711.420000002</v>
      </c>
      <c r="E712" s="1" t="s">
        <v>1267</v>
      </c>
      <c r="F712" s="3">
        <v>46234</v>
      </c>
      <c r="G712" s="4">
        <v>802017066</v>
      </c>
      <c r="H712" s="1" t="s">
        <v>596</v>
      </c>
      <c r="I712" s="1" t="s">
        <v>618</v>
      </c>
      <c r="J712" s="1" t="s">
        <v>23</v>
      </c>
      <c r="K712" s="2" t="s">
        <v>24</v>
      </c>
      <c r="L712" s="1" t="s">
        <v>931</v>
      </c>
      <c r="M712" s="2">
        <v>100000</v>
      </c>
      <c r="N712" s="2" t="s">
        <v>26</v>
      </c>
      <c r="O712" s="2">
        <v>19198037.879999999</v>
      </c>
      <c r="P712" s="1" t="s">
        <v>27</v>
      </c>
    </row>
    <row r="713" spans="1:16" outlineLevel="2">
      <c r="A713" s="1" t="s">
        <v>1246</v>
      </c>
      <c r="B713" s="1" t="s">
        <v>1247</v>
      </c>
      <c r="C713" s="1" t="s">
        <v>1248</v>
      </c>
      <c r="D713" s="2">
        <v>17951711.420000002</v>
      </c>
      <c r="E713" s="1" t="s">
        <v>1268</v>
      </c>
      <c r="F713" s="3">
        <v>46234</v>
      </c>
      <c r="G713" s="4">
        <v>901075452</v>
      </c>
      <c r="H713" s="1" t="s">
        <v>593</v>
      </c>
      <c r="I713" s="1" t="s">
        <v>620</v>
      </c>
      <c r="J713" s="1" t="s">
        <v>23</v>
      </c>
      <c r="K713" s="2" t="s">
        <v>24</v>
      </c>
      <c r="L713" s="1" t="s">
        <v>931</v>
      </c>
      <c r="M713" s="2">
        <v>100000</v>
      </c>
      <c r="N713" s="2" t="s">
        <v>26</v>
      </c>
      <c r="O713" s="2">
        <v>19298037.879999999</v>
      </c>
      <c r="P713" s="1" t="s">
        <v>27</v>
      </c>
    </row>
    <row r="714" spans="1:16" outlineLevel="2">
      <c r="A714" s="1" t="s">
        <v>1246</v>
      </c>
      <c r="B714" s="1" t="s">
        <v>1247</v>
      </c>
      <c r="C714" s="1" t="s">
        <v>1248</v>
      </c>
      <c r="D714" s="2">
        <v>17951711.420000002</v>
      </c>
      <c r="E714" s="1" t="s">
        <v>1269</v>
      </c>
      <c r="F714" s="3">
        <v>46234</v>
      </c>
      <c r="G714" s="4">
        <v>900491889</v>
      </c>
      <c r="H714" s="1" t="s">
        <v>792</v>
      </c>
      <c r="I714" s="1" t="s">
        <v>1270</v>
      </c>
      <c r="J714" s="1" t="s">
        <v>23</v>
      </c>
      <c r="K714" s="2" t="s">
        <v>24</v>
      </c>
      <c r="L714" s="1" t="s">
        <v>931</v>
      </c>
      <c r="M714" s="2">
        <v>50000</v>
      </c>
      <c r="N714" s="2" t="s">
        <v>26</v>
      </c>
      <c r="O714" s="2">
        <v>19348037.879999999</v>
      </c>
      <c r="P714" s="1" t="s">
        <v>27</v>
      </c>
    </row>
    <row r="715" spans="1:16" outlineLevel="2">
      <c r="A715" s="1" t="s">
        <v>1246</v>
      </c>
      <c r="B715" s="1" t="s">
        <v>1247</v>
      </c>
      <c r="C715" s="1" t="s">
        <v>1248</v>
      </c>
      <c r="D715" s="2">
        <v>17951711.420000002</v>
      </c>
      <c r="E715" s="1" t="s">
        <v>1271</v>
      </c>
      <c r="F715" s="3">
        <v>46234</v>
      </c>
      <c r="G715" s="4">
        <v>901075452</v>
      </c>
      <c r="H715" s="1" t="s">
        <v>593</v>
      </c>
      <c r="I715" s="1" t="s">
        <v>622</v>
      </c>
      <c r="J715" s="1" t="s">
        <v>23</v>
      </c>
      <c r="K715" s="2" t="s">
        <v>24</v>
      </c>
      <c r="L715" s="1" t="s">
        <v>931</v>
      </c>
      <c r="M715" s="2">
        <v>100000</v>
      </c>
      <c r="N715" s="2" t="s">
        <v>26</v>
      </c>
      <c r="O715" s="2">
        <v>19448037.879999999</v>
      </c>
      <c r="P715" s="1" t="s">
        <v>27</v>
      </c>
    </row>
    <row r="716" spans="1:16" outlineLevel="2">
      <c r="A716" s="1" t="s">
        <v>1246</v>
      </c>
      <c r="B716" s="1" t="s">
        <v>1247</v>
      </c>
      <c r="C716" s="1" t="s">
        <v>1248</v>
      </c>
      <c r="D716" s="2">
        <v>17951711.420000002</v>
      </c>
      <c r="E716" s="1" t="s">
        <v>1272</v>
      </c>
      <c r="F716" s="3">
        <v>46234</v>
      </c>
      <c r="G716" s="4">
        <v>901075452</v>
      </c>
      <c r="H716" s="1" t="s">
        <v>593</v>
      </c>
      <c r="I716" s="1" t="s">
        <v>624</v>
      </c>
      <c r="J716" s="1" t="s">
        <v>23</v>
      </c>
      <c r="K716" s="2" t="s">
        <v>24</v>
      </c>
      <c r="L716" s="1" t="s">
        <v>931</v>
      </c>
      <c r="M716" s="2">
        <v>100000</v>
      </c>
      <c r="N716" s="2" t="s">
        <v>26</v>
      </c>
      <c r="O716" s="2">
        <v>19548037.879999999</v>
      </c>
      <c r="P716" s="1" t="s">
        <v>27</v>
      </c>
    </row>
    <row r="717" spans="1:16" outlineLevel="2">
      <c r="A717" s="1" t="s">
        <v>1246</v>
      </c>
      <c r="B717" s="1" t="s">
        <v>1247</v>
      </c>
      <c r="C717" s="1" t="s">
        <v>1248</v>
      </c>
      <c r="D717" s="2">
        <v>17951711.420000002</v>
      </c>
      <c r="E717" s="1" t="s">
        <v>1273</v>
      </c>
      <c r="F717" s="3">
        <v>46234</v>
      </c>
      <c r="G717" s="4">
        <v>802017066</v>
      </c>
      <c r="H717" s="1" t="s">
        <v>596</v>
      </c>
      <c r="I717" s="1" t="s">
        <v>626</v>
      </c>
      <c r="J717" s="1" t="s">
        <v>23</v>
      </c>
      <c r="K717" s="2" t="s">
        <v>24</v>
      </c>
      <c r="L717" s="1" t="s">
        <v>931</v>
      </c>
      <c r="M717" s="2">
        <v>100000</v>
      </c>
      <c r="N717" s="2" t="s">
        <v>26</v>
      </c>
      <c r="O717" s="2">
        <v>19648037.879999999</v>
      </c>
      <c r="P717" s="1" t="s">
        <v>27</v>
      </c>
    </row>
    <row r="718" spans="1:16" outlineLevel="2">
      <c r="A718" s="1" t="s">
        <v>1246</v>
      </c>
      <c r="B718" s="1" t="s">
        <v>1247</v>
      </c>
      <c r="C718" s="1" t="s">
        <v>1248</v>
      </c>
      <c r="D718" s="2">
        <v>17951711.420000002</v>
      </c>
      <c r="E718" s="1" t="s">
        <v>1274</v>
      </c>
      <c r="F718" s="3">
        <v>46234</v>
      </c>
      <c r="G718" s="4">
        <v>802017066</v>
      </c>
      <c r="H718" s="1" t="s">
        <v>596</v>
      </c>
      <c r="I718" s="1" t="s">
        <v>628</v>
      </c>
      <c r="J718" s="1" t="s">
        <v>23</v>
      </c>
      <c r="K718" s="2" t="s">
        <v>24</v>
      </c>
      <c r="L718" s="1" t="s">
        <v>931</v>
      </c>
      <c r="M718" s="2">
        <v>100000</v>
      </c>
      <c r="N718" s="2" t="s">
        <v>26</v>
      </c>
      <c r="O718" s="2">
        <v>19748037.879999999</v>
      </c>
      <c r="P718" s="1" t="s">
        <v>27</v>
      </c>
    </row>
    <row r="719" spans="1:16" outlineLevel="2">
      <c r="A719" s="1" t="s">
        <v>1246</v>
      </c>
      <c r="B719" s="1" t="s">
        <v>1247</v>
      </c>
      <c r="C719" s="1" t="s">
        <v>1248</v>
      </c>
      <c r="D719" s="2">
        <v>17951711.420000002</v>
      </c>
      <c r="E719" s="1" t="s">
        <v>1275</v>
      </c>
      <c r="F719" s="3">
        <v>46234</v>
      </c>
      <c r="G719" s="4">
        <v>802017066</v>
      </c>
      <c r="H719" s="1" t="s">
        <v>596</v>
      </c>
      <c r="I719" s="1" t="s">
        <v>630</v>
      </c>
      <c r="J719" s="1" t="s">
        <v>23</v>
      </c>
      <c r="K719" s="2" t="s">
        <v>24</v>
      </c>
      <c r="L719" s="1" t="s">
        <v>931</v>
      </c>
      <c r="M719" s="2">
        <v>100000</v>
      </c>
      <c r="N719" s="2" t="s">
        <v>26</v>
      </c>
      <c r="O719" s="2">
        <v>19848037.879999999</v>
      </c>
      <c r="P719" s="1" t="s">
        <v>27</v>
      </c>
    </row>
    <row r="720" spans="1:16" outlineLevel="2">
      <c r="A720" s="1" t="s">
        <v>1246</v>
      </c>
      <c r="B720" s="1" t="s">
        <v>1247</v>
      </c>
      <c r="C720" s="1" t="s">
        <v>1248</v>
      </c>
      <c r="D720" s="2">
        <v>17951711.420000002</v>
      </c>
      <c r="E720" s="1" t="s">
        <v>1276</v>
      </c>
      <c r="F720" s="3">
        <v>46234</v>
      </c>
      <c r="G720" s="4">
        <v>900491889</v>
      </c>
      <c r="H720" s="1" t="s">
        <v>792</v>
      </c>
      <c r="I720" s="1" t="s">
        <v>1277</v>
      </c>
      <c r="J720" s="1" t="s">
        <v>23</v>
      </c>
      <c r="K720" s="2" t="s">
        <v>24</v>
      </c>
      <c r="L720" s="1" t="s">
        <v>931</v>
      </c>
      <c r="M720" s="2">
        <v>30017</v>
      </c>
      <c r="N720" s="2" t="s">
        <v>26</v>
      </c>
      <c r="O720" s="2">
        <v>19878054.879999999</v>
      </c>
      <c r="P720" s="1" t="s">
        <v>27</v>
      </c>
    </row>
    <row r="721" spans="1:16" outlineLevel="2">
      <c r="A721" s="1" t="s">
        <v>1246</v>
      </c>
      <c r="B721" s="1" t="s">
        <v>1247</v>
      </c>
      <c r="C721" s="1" t="s">
        <v>1248</v>
      </c>
      <c r="D721" s="2">
        <v>17951711.420000002</v>
      </c>
      <c r="E721" s="1" t="s">
        <v>1278</v>
      </c>
      <c r="F721" s="3">
        <v>46234</v>
      </c>
      <c r="G721" s="4">
        <v>802017066</v>
      </c>
      <c r="H721" s="1" t="s">
        <v>596</v>
      </c>
      <c r="I721" s="1" t="s">
        <v>632</v>
      </c>
      <c r="J721" s="1" t="s">
        <v>23</v>
      </c>
      <c r="K721" s="2" t="s">
        <v>24</v>
      </c>
      <c r="L721" s="1" t="s">
        <v>931</v>
      </c>
      <c r="M721" s="2">
        <v>100000</v>
      </c>
      <c r="N721" s="2" t="s">
        <v>26</v>
      </c>
      <c r="O721" s="2">
        <v>19978054.879999999</v>
      </c>
      <c r="P721" s="1" t="s">
        <v>27</v>
      </c>
    </row>
    <row r="722" spans="1:16" outlineLevel="2">
      <c r="A722" s="1" t="s">
        <v>1246</v>
      </c>
      <c r="B722" s="1" t="s">
        <v>1247</v>
      </c>
      <c r="C722" s="1" t="s">
        <v>1248</v>
      </c>
      <c r="D722" s="2">
        <v>17951711.420000002</v>
      </c>
      <c r="E722" s="1" t="s">
        <v>1279</v>
      </c>
      <c r="F722" s="3">
        <v>46234</v>
      </c>
      <c r="G722" s="4">
        <v>802017066</v>
      </c>
      <c r="H722" s="1" t="s">
        <v>596</v>
      </c>
      <c r="I722" s="1" t="s">
        <v>634</v>
      </c>
      <c r="J722" s="1" t="s">
        <v>23</v>
      </c>
      <c r="K722" s="2" t="s">
        <v>24</v>
      </c>
      <c r="L722" s="1" t="s">
        <v>931</v>
      </c>
      <c r="M722" s="2">
        <v>100000</v>
      </c>
      <c r="N722" s="2" t="s">
        <v>26</v>
      </c>
      <c r="O722" s="2">
        <v>20078054.879999999</v>
      </c>
      <c r="P722" s="1" t="s">
        <v>27</v>
      </c>
    </row>
    <row r="723" spans="1:16" outlineLevel="2">
      <c r="A723" s="1" t="s">
        <v>1246</v>
      </c>
      <c r="B723" s="1" t="s">
        <v>1247</v>
      </c>
      <c r="C723" s="1" t="s">
        <v>1248</v>
      </c>
      <c r="D723" s="2">
        <v>17951711.420000002</v>
      </c>
      <c r="E723" s="1" t="s">
        <v>1280</v>
      </c>
      <c r="F723" s="3">
        <v>46234</v>
      </c>
      <c r="G723" s="4">
        <v>900491889</v>
      </c>
      <c r="H723" s="1" t="s">
        <v>792</v>
      </c>
      <c r="I723" s="1" t="s">
        <v>1281</v>
      </c>
      <c r="J723" s="1" t="s">
        <v>23</v>
      </c>
      <c r="K723" s="2" t="s">
        <v>24</v>
      </c>
      <c r="L723" s="1" t="s">
        <v>931</v>
      </c>
      <c r="M723" s="2">
        <v>50000</v>
      </c>
      <c r="N723" s="2" t="s">
        <v>26</v>
      </c>
      <c r="O723" s="2">
        <v>20128054.879999999</v>
      </c>
      <c r="P723" s="1" t="s">
        <v>27</v>
      </c>
    </row>
    <row r="724" spans="1:16" outlineLevel="2">
      <c r="A724" s="1" t="s">
        <v>1246</v>
      </c>
      <c r="B724" s="1" t="s">
        <v>1247</v>
      </c>
      <c r="C724" s="1" t="s">
        <v>1248</v>
      </c>
      <c r="D724" s="2">
        <v>17951711.420000002</v>
      </c>
      <c r="E724" s="1" t="s">
        <v>1282</v>
      </c>
      <c r="F724" s="3">
        <v>46234</v>
      </c>
      <c r="G724" s="4">
        <v>901075452</v>
      </c>
      <c r="H724" s="1" t="s">
        <v>593</v>
      </c>
      <c r="I724" s="1" t="s">
        <v>636</v>
      </c>
      <c r="J724" s="1" t="s">
        <v>23</v>
      </c>
      <c r="K724" s="2" t="s">
        <v>24</v>
      </c>
      <c r="L724" s="1" t="s">
        <v>931</v>
      </c>
      <c r="M724" s="2">
        <v>50000</v>
      </c>
      <c r="N724" s="2" t="s">
        <v>26</v>
      </c>
      <c r="O724" s="2">
        <v>20178054.879999999</v>
      </c>
      <c r="P724" s="1" t="s">
        <v>27</v>
      </c>
    </row>
    <row r="725" spans="1:16" outlineLevel="2">
      <c r="A725" s="1" t="s">
        <v>1246</v>
      </c>
      <c r="B725" s="1" t="s">
        <v>1247</v>
      </c>
      <c r="C725" s="1" t="s">
        <v>1248</v>
      </c>
      <c r="D725" s="2">
        <v>17951711.420000002</v>
      </c>
      <c r="E725" s="1" t="s">
        <v>1283</v>
      </c>
      <c r="F725" s="3">
        <v>46234</v>
      </c>
      <c r="G725" s="4">
        <v>72257318</v>
      </c>
      <c r="H725" s="1" t="s">
        <v>204</v>
      </c>
      <c r="I725" s="1" t="s">
        <v>1284</v>
      </c>
      <c r="J725" s="1" t="s">
        <v>23</v>
      </c>
      <c r="K725" s="2" t="s">
        <v>24</v>
      </c>
      <c r="L725" s="1" t="s">
        <v>931</v>
      </c>
      <c r="M725" s="2">
        <v>10800</v>
      </c>
      <c r="N725" s="2" t="s">
        <v>26</v>
      </c>
      <c r="O725" s="2">
        <v>20188854.879999999</v>
      </c>
      <c r="P725" s="1" t="s">
        <v>27</v>
      </c>
    </row>
    <row r="726" spans="1:16" outlineLevel="1">
      <c r="A726" s="13" t="s">
        <v>1510</v>
      </c>
      <c r="M726" s="2">
        <f>SUBTOTAL(9,M697:M725)</f>
        <v>2237143.46</v>
      </c>
      <c r="N726" s="2">
        <f>SUBTOTAL(9,N697:N725)</f>
        <v>0</v>
      </c>
    </row>
    <row r="727" spans="1:16" outlineLevel="2">
      <c r="A727" s="1" t="s">
        <v>1285</v>
      </c>
      <c r="B727" s="1" t="s">
        <v>1286</v>
      </c>
      <c r="C727" s="1" t="s">
        <v>1287</v>
      </c>
      <c r="D727" s="2">
        <v>2055000</v>
      </c>
      <c r="E727" s="1" t="s">
        <v>1288</v>
      </c>
      <c r="F727" s="3">
        <v>46233</v>
      </c>
      <c r="G727" s="4">
        <v>1042436824</v>
      </c>
      <c r="H727" s="1" t="s">
        <v>476</v>
      </c>
      <c r="I727" s="1" t="s">
        <v>1289</v>
      </c>
      <c r="J727" s="1" t="s">
        <v>23</v>
      </c>
      <c r="K727" s="2" t="s">
        <v>24</v>
      </c>
      <c r="L727" s="1" t="s">
        <v>931</v>
      </c>
      <c r="M727" s="2">
        <v>25000</v>
      </c>
      <c r="N727" s="2" t="s">
        <v>26</v>
      </c>
      <c r="O727" s="2">
        <v>2080000</v>
      </c>
      <c r="P727" s="1" t="s">
        <v>27</v>
      </c>
    </row>
    <row r="728" spans="1:16" outlineLevel="2">
      <c r="A728" s="1" t="s">
        <v>1285</v>
      </c>
      <c r="B728" s="1" t="s">
        <v>1286</v>
      </c>
      <c r="C728" s="1" t="s">
        <v>1287</v>
      </c>
      <c r="D728" s="2">
        <v>2055000</v>
      </c>
      <c r="E728" s="1" t="s">
        <v>1290</v>
      </c>
      <c r="F728" s="3">
        <v>46233</v>
      </c>
      <c r="G728" s="4">
        <v>1042436824</v>
      </c>
      <c r="H728" s="1" t="s">
        <v>476</v>
      </c>
      <c r="I728" s="1" t="s">
        <v>1291</v>
      </c>
      <c r="J728" s="1" t="s">
        <v>23</v>
      </c>
      <c r="K728" s="2" t="s">
        <v>24</v>
      </c>
      <c r="L728" s="1" t="s">
        <v>931</v>
      </c>
      <c r="M728" s="2">
        <v>100000</v>
      </c>
      <c r="N728" s="2" t="s">
        <v>26</v>
      </c>
      <c r="O728" s="2">
        <v>2180000</v>
      </c>
      <c r="P728" s="1" t="s">
        <v>27</v>
      </c>
    </row>
    <row r="729" spans="1:16" outlineLevel="2">
      <c r="A729" s="1" t="s">
        <v>1285</v>
      </c>
      <c r="B729" s="1" t="s">
        <v>1286</v>
      </c>
      <c r="C729" s="1" t="s">
        <v>1287</v>
      </c>
      <c r="D729" s="2">
        <v>2055000</v>
      </c>
      <c r="E729" s="1" t="s">
        <v>1292</v>
      </c>
      <c r="F729" s="3">
        <v>46233</v>
      </c>
      <c r="G729" s="4">
        <v>8794824</v>
      </c>
      <c r="H729" s="1" t="s">
        <v>399</v>
      </c>
      <c r="I729" s="1" t="s">
        <v>1291</v>
      </c>
      <c r="J729" s="1" t="s">
        <v>23</v>
      </c>
      <c r="K729" s="2" t="s">
        <v>24</v>
      </c>
      <c r="L729" s="1" t="s">
        <v>931</v>
      </c>
      <c r="M729" s="2">
        <v>50000</v>
      </c>
      <c r="N729" s="2" t="s">
        <v>26</v>
      </c>
      <c r="O729" s="2">
        <v>2230000</v>
      </c>
      <c r="P729" s="1" t="s">
        <v>27</v>
      </c>
    </row>
    <row r="730" spans="1:16" outlineLevel="2">
      <c r="A730" s="1" t="s">
        <v>1285</v>
      </c>
      <c r="B730" s="1" t="s">
        <v>1286</v>
      </c>
      <c r="C730" s="1" t="s">
        <v>1287</v>
      </c>
      <c r="D730" s="2">
        <v>2055000</v>
      </c>
      <c r="E730" s="1" t="s">
        <v>1293</v>
      </c>
      <c r="F730" s="3">
        <v>46233</v>
      </c>
      <c r="G730" s="4">
        <v>8794824</v>
      </c>
      <c r="H730" s="1" t="s">
        <v>399</v>
      </c>
      <c r="I730" s="1" t="s">
        <v>1291</v>
      </c>
      <c r="J730" s="1" t="s">
        <v>23</v>
      </c>
      <c r="K730" s="2" t="s">
        <v>24</v>
      </c>
      <c r="L730" s="1" t="s">
        <v>931</v>
      </c>
      <c r="M730" s="2">
        <v>20000</v>
      </c>
      <c r="N730" s="2" t="s">
        <v>26</v>
      </c>
      <c r="O730" s="2">
        <v>2250000</v>
      </c>
      <c r="P730" s="1" t="s">
        <v>27</v>
      </c>
    </row>
    <row r="731" spans="1:16" outlineLevel="2">
      <c r="A731" s="1" t="s">
        <v>1285</v>
      </c>
      <c r="B731" s="1" t="s">
        <v>1286</v>
      </c>
      <c r="C731" s="1" t="s">
        <v>1287</v>
      </c>
      <c r="D731" s="2">
        <v>2055000</v>
      </c>
      <c r="E731" s="1" t="s">
        <v>1294</v>
      </c>
      <c r="F731" s="3">
        <v>46234</v>
      </c>
      <c r="G731" s="4">
        <v>1042436824</v>
      </c>
      <c r="H731" s="1" t="s">
        <v>476</v>
      </c>
      <c r="I731" s="1" t="s">
        <v>1295</v>
      </c>
      <c r="J731" s="1" t="s">
        <v>23</v>
      </c>
      <c r="K731" s="2" t="s">
        <v>24</v>
      </c>
      <c r="L731" s="1" t="s">
        <v>931</v>
      </c>
      <c r="M731" s="2">
        <v>100000</v>
      </c>
      <c r="N731" s="2" t="s">
        <v>26</v>
      </c>
      <c r="O731" s="2">
        <v>2350000</v>
      </c>
      <c r="P731" s="1" t="s">
        <v>27</v>
      </c>
    </row>
    <row r="732" spans="1:16" outlineLevel="2">
      <c r="A732" s="1" t="s">
        <v>1285</v>
      </c>
      <c r="B732" s="1" t="s">
        <v>1286</v>
      </c>
      <c r="C732" s="1" t="s">
        <v>1287</v>
      </c>
      <c r="D732" s="2">
        <v>2055000</v>
      </c>
      <c r="E732" s="1" t="s">
        <v>1296</v>
      </c>
      <c r="F732" s="3">
        <v>46234</v>
      </c>
      <c r="G732" s="4">
        <v>8794824</v>
      </c>
      <c r="H732" s="1" t="s">
        <v>399</v>
      </c>
      <c r="I732" s="1" t="s">
        <v>1297</v>
      </c>
      <c r="J732" s="1" t="s">
        <v>23</v>
      </c>
      <c r="K732" s="2" t="s">
        <v>24</v>
      </c>
      <c r="L732" s="1" t="s">
        <v>931</v>
      </c>
      <c r="M732" s="2">
        <v>50000</v>
      </c>
      <c r="N732" s="2" t="s">
        <v>26</v>
      </c>
      <c r="O732" s="2">
        <v>2400000</v>
      </c>
      <c r="P732" s="1" t="s">
        <v>27</v>
      </c>
    </row>
    <row r="733" spans="1:16" outlineLevel="2">
      <c r="A733" s="1" t="s">
        <v>1285</v>
      </c>
      <c r="B733" s="1" t="s">
        <v>1286</v>
      </c>
      <c r="C733" s="1" t="s">
        <v>1287</v>
      </c>
      <c r="D733" s="2">
        <v>2055000</v>
      </c>
      <c r="E733" s="1" t="s">
        <v>1298</v>
      </c>
      <c r="F733" s="3">
        <v>46234</v>
      </c>
      <c r="G733" s="4">
        <v>1143257677</v>
      </c>
      <c r="H733" s="1" t="s">
        <v>499</v>
      </c>
      <c r="I733" s="1" t="s">
        <v>1291</v>
      </c>
      <c r="J733" s="1" t="s">
        <v>23</v>
      </c>
      <c r="K733" s="2" t="s">
        <v>24</v>
      </c>
      <c r="L733" s="1" t="s">
        <v>931</v>
      </c>
      <c r="M733" s="2">
        <v>20000</v>
      </c>
      <c r="N733" s="2" t="s">
        <v>26</v>
      </c>
      <c r="O733" s="2">
        <v>2420000</v>
      </c>
      <c r="P733" s="1" t="s">
        <v>27</v>
      </c>
    </row>
    <row r="734" spans="1:16" outlineLevel="1">
      <c r="A734" s="13" t="s">
        <v>1511</v>
      </c>
      <c r="M734" s="2">
        <f>SUBTOTAL(9,M727:M733)</f>
        <v>365000</v>
      </c>
      <c r="N734" s="2">
        <f>SUBTOTAL(9,N727:N733)</f>
        <v>0</v>
      </c>
    </row>
    <row r="735" spans="1:16" outlineLevel="2">
      <c r="A735" s="1" t="s">
        <v>1299</v>
      </c>
      <c r="B735" s="1" t="s">
        <v>1300</v>
      </c>
      <c r="C735" s="1" t="s">
        <v>1301</v>
      </c>
      <c r="D735" s="2">
        <v>599253.74</v>
      </c>
      <c r="E735" s="1" t="s">
        <v>1302</v>
      </c>
      <c r="F735" s="3">
        <v>46233</v>
      </c>
      <c r="G735" s="4">
        <v>900273380</v>
      </c>
      <c r="H735" s="1" t="s">
        <v>1303</v>
      </c>
      <c r="I735" s="1" t="s">
        <v>1304</v>
      </c>
      <c r="J735" s="1" t="s">
        <v>23</v>
      </c>
      <c r="K735" s="2" t="s">
        <v>24</v>
      </c>
      <c r="L735" s="1" t="s">
        <v>931</v>
      </c>
      <c r="M735" s="2">
        <v>20400</v>
      </c>
      <c r="N735" s="2" t="s">
        <v>26</v>
      </c>
      <c r="O735" s="2">
        <v>619653.74</v>
      </c>
      <c r="P735" s="1" t="s">
        <v>27</v>
      </c>
    </row>
    <row r="736" spans="1:16" outlineLevel="2">
      <c r="A736" s="1" t="s">
        <v>1299</v>
      </c>
      <c r="B736" s="1" t="s">
        <v>1300</v>
      </c>
      <c r="C736" s="1" t="s">
        <v>1301</v>
      </c>
      <c r="D736" s="2">
        <v>599253.74</v>
      </c>
      <c r="E736" s="1" t="s">
        <v>1305</v>
      </c>
      <c r="F736" s="3">
        <v>46233</v>
      </c>
      <c r="G736" s="4">
        <v>830112317</v>
      </c>
      <c r="H736" s="1" t="s">
        <v>777</v>
      </c>
      <c r="I736" s="1" t="s">
        <v>778</v>
      </c>
      <c r="J736" s="1" t="s">
        <v>23</v>
      </c>
      <c r="K736" s="2" t="s">
        <v>24</v>
      </c>
      <c r="L736" s="1" t="s">
        <v>931</v>
      </c>
      <c r="M736" s="2">
        <v>21680.68</v>
      </c>
      <c r="N736" s="2" t="s">
        <v>26</v>
      </c>
      <c r="O736" s="2">
        <v>641334.42000000004</v>
      </c>
      <c r="P736" s="1" t="s">
        <v>27</v>
      </c>
    </row>
    <row r="737" spans="1:16" outlineLevel="2">
      <c r="A737" s="1" t="s">
        <v>1299</v>
      </c>
      <c r="B737" s="1" t="s">
        <v>1300</v>
      </c>
      <c r="C737" s="1" t="s">
        <v>1301</v>
      </c>
      <c r="D737" s="2">
        <v>599253.74</v>
      </c>
      <c r="E737" s="1" t="s">
        <v>1306</v>
      </c>
      <c r="F737" s="3">
        <v>46234</v>
      </c>
      <c r="G737" s="4">
        <v>830112317</v>
      </c>
      <c r="H737" s="1" t="s">
        <v>777</v>
      </c>
      <c r="I737" s="1" t="s">
        <v>798</v>
      </c>
      <c r="J737" s="1" t="s">
        <v>23</v>
      </c>
      <c r="K737" s="2" t="s">
        <v>24</v>
      </c>
      <c r="L737" s="1" t="s">
        <v>931</v>
      </c>
      <c r="M737" s="2">
        <v>17647.060000000001</v>
      </c>
      <c r="N737" s="2" t="s">
        <v>26</v>
      </c>
      <c r="O737" s="2">
        <v>658981.48</v>
      </c>
      <c r="P737" s="1" t="s">
        <v>27</v>
      </c>
    </row>
    <row r="738" spans="1:16" outlineLevel="2">
      <c r="A738" s="1" t="s">
        <v>1299</v>
      </c>
      <c r="B738" s="1" t="s">
        <v>1300</v>
      </c>
      <c r="C738" s="1" t="s">
        <v>1301</v>
      </c>
      <c r="D738" s="2">
        <v>599253.74</v>
      </c>
      <c r="E738" s="1" t="s">
        <v>1307</v>
      </c>
      <c r="F738" s="3">
        <v>46234</v>
      </c>
      <c r="G738" s="4">
        <v>901125558</v>
      </c>
      <c r="H738" s="1" t="s">
        <v>1308</v>
      </c>
      <c r="I738" s="1" t="s">
        <v>1309</v>
      </c>
      <c r="J738" s="1" t="s">
        <v>23</v>
      </c>
      <c r="K738" s="2" t="s">
        <v>24</v>
      </c>
      <c r="L738" s="1" t="s">
        <v>931</v>
      </c>
      <c r="M738" s="2">
        <v>31300</v>
      </c>
      <c r="N738" s="2" t="s">
        <v>26</v>
      </c>
      <c r="O738" s="2">
        <v>690281.48</v>
      </c>
      <c r="P738" s="1" t="s">
        <v>27</v>
      </c>
    </row>
    <row r="739" spans="1:16" outlineLevel="1">
      <c r="A739" s="13" t="s">
        <v>1512</v>
      </c>
      <c r="M739" s="2">
        <f>SUBTOTAL(9,M735:M738)</f>
        <v>91027.74</v>
      </c>
      <c r="N739" s="2">
        <f>SUBTOTAL(9,N735:N738)</f>
        <v>0</v>
      </c>
    </row>
    <row r="740" spans="1:16" outlineLevel="2">
      <c r="A740" s="1" t="s">
        <v>1310</v>
      </c>
      <c r="B740" s="1" t="s">
        <v>1311</v>
      </c>
      <c r="C740" s="1" t="s">
        <v>1312</v>
      </c>
      <c r="D740" s="2">
        <v>2596257.17</v>
      </c>
      <c r="E740" s="1" t="s">
        <v>1313</v>
      </c>
      <c r="F740" s="3">
        <v>46233</v>
      </c>
      <c r="G740" s="4">
        <v>900219834</v>
      </c>
      <c r="H740" s="1" t="s">
        <v>810</v>
      </c>
      <c r="I740" s="1" t="s">
        <v>811</v>
      </c>
      <c r="J740" s="1" t="s">
        <v>23</v>
      </c>
      <c r="K740" s="2" t="s">
        <v>24</v>
      </c>
      <c r="L740" s="1" t="s">
        <v>931</v>
      </c>
      <c r="M740" s="2">
        <v>4159.6499999999996</v>
      </c>
      <c r="N740" s="2" t="s">
        <v>26</v>
      </c>
      <c r="O740" s="2">
        <v>2600416.8199999998</v>
      </c>
      <c r="P740" s="1" t="s">
        <v>27</v>
      </c>
    </row>
    <row r="741" spans="1:16" outlineLevel="2">
      <c r="A741" s="1" t="s">
        <v>1310</v>
      </c>
      <c r="B741" s="1" t="s">
        <v>1311</v>
      </c>
      <c r="C741" s="1" t="s">
        <v>1312</v>
      </c>
      <c r="D741" s="2">
        <v>2596257.17</v>
      </c>
      <c r="E741" s="1" t="s">
        <v>1314</v>
      </c>
      <c r="F741" s="3">
        <v>46233</v>
      </c>
      <c r="G741" s="4">
        <v>901033735</v>
      </c>
      <c r="H741" s="1" t="s">
        <v>813</v>
      </c>
      <c r="I741" s="1" t="s">
        <v>814</v>
      </c>
      <c r="J741" s="1" t="s">
        <v>23</v>
      </c>
      <c r="K741" s="2" t="s">
        <v>24</v>
      </c>
      <c r="L741" s="1" t="s">
        <v>931</v>
      </c>
      <c r="M741" s="2">
        <v>10084.030000000001</v>
      </c>
      <c r="N741" s="2" t="s">
        <v>26</v>
      </c>
      <c r="O741" s="2">
        <v>2610500.85</v>
      </c>
      <c r="P741" s="1" t="s">
        <v>27</v>
      </c>
    </row>
    <row r="742" spans="1:16" outlineLevel="2">
      <c r="A742" s="1" t="s">
        <v>1310</v>
      </c>
      <c r="B742" s="1" t="s">
        <v>1311</v>
      </c>
      <c r="C742" s="1" t="s">
        <v>1312</v>
      </c>
      <c r="D742" s="2">
        <v>2596257.17</v>
      </c>
      <c r="E742" s="1" t="s">
        <v>1315</v>
      </c>
      <c r="F742" s="3">
        <v>46233</v>
      </c>
      <c r="G742" s="4">
        <v>900219834</v>
      </c>
      <c r="H742" s="1" t="s">
        <v>810</v>
      </c>
      <c r="I742" s="1" t="s">
        <v>1316</v>
      </c>
      <c r="J742" s="1" t="s">
        <v>23</v>
      </c>
      <c r="K742" s="2" t="s">
        <v>24</v>
      </c>
      <c r="L742" s="1" t="s">
        <v>931</v>
      </c>
      <c r="M742" s="2">
        <v>10000</v>
      </c>
      <c r="N742" s="2" t="s">
        <v>26</v>
      </c>
      <c r="O742" s="2">
        <v>2620500.85</v>
      </c>
      <c r="P742" s="1" t="s">
        <v>27</v>
      </c>
    </row>
    <row r="743" spans="1:16" outlineLevel="2">
      <c r="A743" s="1" t="s">
        <v>1310</v>
      </c>
      <c r="B743" s="1" t="s">
        <v>1311</v>
      </c>
      <c r="C743" s="1" t="s">
        <v>1312</v>
      </c>
      <c r="D743" s="2">
        <v>2596257.17</v>
      </c>
      <c r="E743" s="1" t="s">
        <v>1317</v>
      </c>
      <c r="F743" s="3">
        <v>46233</v>
      </c>
      <c r="G743" s="4">
        <v>900219834</v>
      </c>
      <c r="H743" s="1" t="s">
        <v>810</v>
      </c>
      <c r="I743" s="1" t="s">
        <v>1318</v>
      </c>
      <c r="J743" s="1" t="s">
        <v>23</v>
      </c>
      <c r="K743" s="2" t="s">
        <v>24</v>
      </c>
      <c r="L743" s="1" t="s">
        <v>931</v>
      </c>
      <c r="M743" s="2">
        <v>10000</v>
      </c>
      <c r="N743" s="2" t="s">
        <v>26</v>
      </c>
      <c r="O743" s="2">
        <v>2630500.85</v>
      </c>
      <c r="P743" s="1" t="s">
        <v>27</v>
      </c>
    </row>
    <row r="744" spans="1:16" outlineLevel="2">
      <c r="A744" s="1" t="s">
        <v>1310</v>
      </c>
      <c r="B744" s="1" t="s">
        <v>1311</v>
      </c>
      <c r="C744" s="1" t="s">
        <v>1312</v>
      </c>
      <c r="D744" s="2">
        <v>2596257.17</v>
      </c>
      <c r="E744" s="1" t="s">
        <v>1319</v>
      </c>
      <c r="F744" s="3">
        <v>46233</v>
      </c>
      <c r="G744" s="4">
        <v>32785411</v>
      </c>
      <c r="H744" s="1" t="s">
        <v>479</v>
      </c>
      <c r="I744" s="1" t="s">
        <v>1320</v>
      </c>
      <c r="J744" s="1" t="s">
        <v>23</v>
      </c>
      <c r="K744" s="2" t="s">
        <v>24</v>
      </c>
      <c r="L744" s="1" t="s">
        <v>931</v>
      </c>
      <c r="M744" s="2">
        <v>150000</v>
      </c>
      <c r="N744" s="2" t="s">
        <v>26</v>
      </c>
      <c r="O744" s="2">
        <v>2780500.85</v>
      </c>
      <c r="P744" s="1" t="s">
        <v>27</v>
      </c>
    </row>
    <row r="745" spans="1:16" outlineLevel="2">
      <c r="A745" s="1" t="s">
        <v>1310</v>
      </c>
      <c r="B745" s="1" t="s">
        <v>1311</v>
      </c>
      <c r="C745" s="1" t="s">
        <v>1312</v>
      </c>
      <c r="D745" s="2">
        <v>2596257.17</v>
      </c>
      <c r="E745" s="1" t="s">
        <v>1321</v>
      </c>
      <c r="F745" s="3">
        <v>46234</v>
      </c>
      <c r="G745" s="4">
        <v>900921566</v>
      </c>
      <c r="H745" s="1" t="s">
        <v>816</v>
      </c>
      <c r="I745" s="1" t="s">
        <v>817</v>
      </c>
      <c r="J745" s="1" t="s">
        <v>23</v>
      </c>
      <c r="K745" s="2" t="s">
        <v>24</v>
      </c>
      <c r="L745" s="1" t="s">
        <v>931</v>
      </c>
      <c r="M745" s="2">
        <v>2521.0100000000002</v>
      </c>
      <c r="N745" s="2" t="s">
        <v>26</v>
      </c>
      <c r="O745" s="2">
        <v>2783021.86</v>
      </c>
      <c r="P745" s="1" t="s">
        <v>27</v>
      </c>
    </row>
    <row r="746" spans="1:16" outlineLevel="2">
      <c r="A746" s="1" t="s">
        <v>1310</v>
      </c>
      <c r="B746" s="1" t="s">
        <v>1311</v>
      </c>
      <c r="C746" s="1" t="s">
        <v>1312</v>
      </c>
      <c r="D746" s="2">
        <v>2596257.17</v>
      </c>
      <c r="E746" s="1" t="s">
        <v>1322</v>
      </c>
      <c r="F746" s="3">
        <v>46234</v>
      </c>
      <c r="G746" s="4">
        <v>900219834</v>
      </c>
      <c r="H746" s="1" t="s">
        <v>810</v>
      </c>
      <c r="I746" s="1" t="s">
        <v>1323</v>
      </c>
      <c r="J746" s="1" t="s">
        <v>23</v>
      </c>
      <c r="K746" s="2" t="s">
        <v>24</v>
      </c>
      <c r="L746" s="1" t="s">
        <v>931</v>
      </c>
      <c r="M746" s="2">
        <v>10000</v>
      </c>
      <c r="N746" s="2" t="s">
        <v>26</v>
      </c>
      <c r="O746" s="2">
        <v>2793021.86</v>
      </c>
      <c r="P746" s="1" t="s">
        <v>27</v>
      </c>
    </row>
    <row r="747" spans="1:16" outlineLevel="2">
      <c r="A747" s="1" t="s">
        <v>1310</v>
      </c>
      <c r="B747" s="1" t="s">
        <v>1311</v>
      </c>
      <c r="C747" s="1" t="s">
        <v>1312</v>
      </c>
      <c r="D747" s="2">
        <v>2596257.17</v>
      </c>
      <c r="E747" s="1" t="s">
        <v>1324</v>
      </c>
      <c r="F747" s="3">
        <v>46234</v>
      </c>
      <c r="G747" s="4">
        <v>900219834</v>
      </c>
      <c r="H747" s="1" t="s">
        <v>810</v>
      </c>
      <c r="I747" s="1" t="s">
        <v>1325</v>
      </c>
      <c r="J747" s="1" t="s">
        <v>23</v>
      </c>
      <c r="K747" s="2" t="s">
        <v>24</v>
      </c>
      <c r="L747" s="1" t="s">
        <v>931</v>
      </c>
      <c r="M747" s="2">
        <v>10000</v>
      </c>
      <c r="N747" s="2" t="s">
        <v>26</v>
      </c>
      <c r="O747" s="2">
        <v>2803021.86</v>
      </c>
      <c r="P747" s="1" t="s">
        <v>27</v>
      </c>
    </row>
    <row r="748" spans="1:16" outlineLevel="2">
      <c r="A748" s="1" t="s">
        <v>1310</v>
      </c>
      <c r="B748" s="1" t="s">
        <v>1311</v>
      </c>
      <c r="C748" s="1" t="s">
        <v>1312</v>
      </c>
      <c r="D748" s="2">
        <v>2596257.17</v>
      </c>
      <c r="E748" s="1" t="s">
        <v>1326</v>
      </c>
      <c r="F748" s="3">
        <v>46234</v>
      </c>
      <c r="G748" s="4">
        <v>900763355</v>
      </c>
      <c r="H748" s="1" t="s">
        <v>1327</v>
      </c>
      <c r="I748" s="1" t="s">
        <v>1328</v>
      </c>
      <c r="J748" s="1" t="s">
        <v>23</v>
      </c>
      <c r="K748" s="2" t="s">
        <v>24</v>
      </c>
      <c r="L748" s="1" t="s">
        <v>931</v>
      </c>
      <c r="M748" s="2">
        <v>20000</v>
      </c>
      <c r="N748" s="2" t="s">
        <v>26</v>
      </c>
      <c r="O748" s="2">
        <v>2823021.86</v>
      </c>
      <c r="P748" s="1" t="s">
        <v>27</v>
      </c>
    </row>
    <row r="749" spans="1:16" outlineLevel="2">
      <c r="A749" s="1" t="s">
        <v>1310</v>
      </c>
      <c r="B749" s="1" t="s">
        <v>1311</v>
      </c>
      <c r="C749" s="1" t="s">
        <v>1312</v>
      </c>
      <c r="D749" s="2">
        <v>2596257.17</v>
      </c>
      <c r="E749" s="1" t="s">
        <v>1329</v>
      </c>
      <c r="F749" s="3">
        <v>46234</v>
      </c>
      <c r="G749" s="4">
        <v>900219834</v>
      </c>
      <c r="H749" s="1" t="s">
        <v>810</v>
      </c>
      <c r="I749" s="1" t="s">
        <v>1330</v>
      </c>
      <c r="J749" s="1" t="s">
        <v>23</v>
      </c>
      <c r="K749" s="2" t="s">
        <v>24</v>
      </c>
      <c r="L749" s="1" t="s">
        <v>931</v>
      </c>
      <c r="M749" s="2">
        <v>11700</v>
      </c>
      <c r="N749" s="2" t="s">
        <v>26</v>
      </c>
      <c r="O749" s="2">
        <v>2834721.86</v>
      </c>
      <c r="P749" s="1" t="s">
        <v>27</v>
      </c>
    </row>
    <row r="750" spans="1:16" outlineLevel="1">
      <c r="A750" s="13" t="s">
        <v>1513</v>
      </c>
      <c r="M750" s="2">
        <f>SUBTOTAL(9,M740:M749)</f>
        <v>238464.69</v>
      </c>
      <c r="N750" s="2">
        <f>SUBTOTAL(9,N740:N749)</f>
        <v>0</v>
      </c>
    </row>
    <row r="751" spans="1:16" outlineLevel="2">
      <c r="A751" s="1" t="s">
        <v>1331</v>
      </c>
      <c r="B751" s="1" t="s">
        <v>1332</v>
      </c>
      <c r="C751" s="1" t="s">
        <v>511</v>
      </c>
      <c r="D751" s="2">
        <v>4472699.8099999996</v>
      </c>
      <c r="E751" s="1" t="s">
        <v>1333</v>
      </c>
      <c r="F751" s="3">
        <v>46211</v>
      </c>
      <c r="G751" s="4">
        <v>901853183</v>
      </c>
      <c r="H751" s="1" t="s">
        <v>469</v>
      </c>
      <c r="I751" s="1" t="s">
        <v>764</v>
      </c>
      <c r="J751" s="1" t="s">
        <v>23</v>
      </c>
      <c r="K751" s="2" t="s">
        <v>24</v>
      </c>
      <c r="L751" s="1" t="s">
        <v>931</v>
      </c>
      <c r="M751" s="2">
        <v>255050.39</v>
      </c>
      <c r="N751" s="2" t="s">
        <v>26</v>
      </c>
      <c r="O751" s="2">
        <v>4727750.2</v>
      </c>
      <c r="P751" s="1" t="s">
        <v>27</v>
      </c>
    </row>
    <row r="752" spans="1:16" outlineLevel="2">
      <c r="A752" s="1" t="s">
        <v>1331</v>
      </c>
      <c r="B752" s="1" t="s">
        <v>1332</v>
      </c>
      <c r="C752" s="1" t="s">
        <v>511</v>
      </c>
      <c r="D752" s="2">
        <v>4472699.8099999996</v>
      </c>
      <c r="E752" s="1" t="s">
        <v>1334</v>
      </c>
      <c r="F752" s="3">
        <v>46217</v>
      </c>
      <c r="G752" s="4">
        <v>60398066</v>
      </c>
      <c r="H752" s="1" t="s">
        <v>766</v>
      </c>
      <c r="I752" s="1" t="s">
        <v>767</v>
      </c>
      <c r="J752" s="1" t="s">
        <v>23</v>
      </c>
      <c r="K752" s="2" t="s">
        <v>24</v>
      </c>
      <c r="L752" s="1" t="s">
        <v>931</v>
      </c>
      <c r="M752" s="2">
        <v>336135</v>
      </c>
      <c r="N752" s="2" t="s">
        <v>26</v>
      </c>
      <c r="O752" s="2">
        <v>5063885.2</v>
      </c>
      <c r="P752" s="1" t="s">
        <v>27</v>
      </c>
    </row>
    <row r="753" spans="1:16" outlineLevel="2">
      <c r="A753" s="1" t="s">
        <v>1331</v>
      </c>
      <c r="B753" s="1" t="s">
        <v>1332</v>
      </c>
      <c r="C753" s="1" t="s">
        <v>511</v>
      </c>
      <c r="D753" s="2">
        <v>4472699.8099999996</v>
      </c>
      <c r="E753" s="1" t="s">
        <v>1335</v>
      </c>
      <c r="F753" s="3">
        <v>46219</v>
      </c>
      <c r="G753" s="4">
        <v>60398066</v>
      </c>
      <c r="H753" s="1" t="s">
        <v>766</v>
      </c>
      <c r="I753" s="1" t="s">
        <v>770</v>
      </c>
      <c r="J753" s="1" t="s">
        <v>23</v>
      </c>
      <c r="K753" s="2" t="s">
        <v>24</v>
      </c>
      <c r="L753" s="1" t="s">
        <v>931</v>
      </c>
      <c r="M753" s="2">
        <v>210084</v>
      </c>
      <c r="N753" s="2" t="s">
        <v>26</v>
      </c>
      <c r="O753" s="2">
        <v>5273969.2</v>
      </c>
      <c r="P753" s="1" t="s">
        <v>27</v>
      </c>
    </row>
    <row r="754" spans="1:16" outlineLevel="2">
      <c r="A754" s="1" t="s">
        <v>1331</v>
      </c>
      <c r="B754" s="1" t="s">
        <v>1332</v>
      </c>
      <c r="C754" s="1" t="s">
        <v>511</v>
      </c>
      <c r="D754" s="2">
        <v>4472699.8099999996</v>
      </c>
      <c r="E754" s="1" t="s">
        <v>1336</v>
      </c>
      <c r="F754" s="3">
        <v>46233</v>
      </c>
      <c r="G754" s="4">
        <v>890110294</v>
      </c>
      <c r="H754" s="1" t="s">
        <v>783</v>
      </c>
      <c r="I754" s="1" t="s">
        <v>784</v>
      </c>
      <c r="J754" s="1" t="s">
        <v>23</v>
      </c>
      <c r="K754" s="2" t="s">
        <v>24</v>
      </c>
      <c r="L754" s="1" t="s">
        <v>931</v>
      </c>
      <c r="M754" s="2">
        <v>55000</v>
      </c>
      <c r="N754" s="2" t="s">
        <v>26</v>
      </c>
      <c r="O754" s="2">
        <v>5328969.2</v>
      </c>
      <c r="P754" s="1" t="s">
        <v>27</v>
      </c>
    </row>
    <row r="755" spans="1:16" outlineLevel="2">
      <c r="A755" s="1" t="s">
        <v>1331</v>
      </c>
      <c r="B755" s="1" t="s">
        <v>1332</v>
      </c>
      <c r="C755" s="1" t="s">
        <v>511</v>
      </c>
      <c r="D755" s="2">
        <v>4472699.8099999996</v>
      </c>
      <c r="E755" s="1" t="s">
        <v>1337</v>
      </c>
      <c r="F755" s="3">
        <v>46233</v>
      </c>
      <c r="G755" s="4">
        <v>901853183</v>
      </c>
      <c r="H755" s="1" t="s">
        <v>469</v>
      </c>
      <c r="I755" s="1" t="s">
        <v>786</v>
      </c>
      <c r="J755" s="1" t="s">
        <v>23</v>
      </c>
      <c r="K755" s="2" t="s">
        <v>24</v>
      </c>
      <c r="L755" s="1" t="s">
        <v>931</v>
      </c>
      <c r="M755" s="2">
        <v>47647</v>
      </c>
      <c r="N755" s="2" t="s">
        <v>26</v>
      </c>
      <c r="O755" s="2">
        <v>5376616.2000000002</v>
      </c>
      <c r="P755" s="1" t="s">
        <v>27</v>
      </c>
    </row>
    <row r="756" spans="1:16" outlineLevel="2">
      <c r="A756" s="1" t="s">
        <v>1331</v>
      </c>
      <c r="B756" s="1" t="s">
        <v>1332</v>
      </c>
      <c r="C756" s="1" t="s">
        <v>511</v>
      </c>
      <c r="D756" s="2">
        <v>4472699.8099999996</v>
      </c>
      <c r="E756" s="1" t="s">
        <v>1338</v>
      </c>
      <c r="F756" s="3">
        <v>46233</v>
      </c>
      <c r="G756" s="4">
        <v>901853183</v>
      </c>
      <c r="H756" s="1" t="s">
        <v>469</v>
      </c>
      <c r="I756" s="1" t="s">
        <v>788</v>
      </c>
      <c r="J756" s="1" t="s">
        <v>23</v>
      </c>
      <c r="K756" s="2" t="s">
        <v>24</v>
      </c>
      <c r="L756" s="1" t="s">
        <v>931</v>
      </c>
      <c r="M756" s="2">
        <v>73389</v>
      </c>
      <c r="N756" s="2" t="s">
        <v>26</v>
      </c>
      <c r="O756" s="2">
        <v>5450005.2000000002</v>
      </c>
      <c r="P756" s="1" t="s">
        <v>27</v>
      </c>
    </row>
    <row r="757" spans="1:16" outlineLevel="2">
      <c r="A757" s="1" t="s">
        <v>1331</v>
      </c>
      <c r="B757" s="1" t="s">
        <v>1332</v>
      </c>
      <c r="C757" s="1" t="s">
        <v>511</v>
      </c>
      <c r="D757" s="2">
        <v>4472699.8099999996</v>
      </c>
      <c r="E757" s="1" t="s">
        <v>1339</v>
      </c>
      <c r="F757" s="3">
        <v>46233</v>
      </c>
      <c r="G757" s="4">
        <v>901853183</v>
      </c>
      <c r="H757" s="1" t="s">
        <v>469</v>
      </c>
      <c r="I757" s="1" t="s">
        <v>790</v>
      </c>
      <c r="J757" s="1" t="s">
        <v>23</v>
      </c>
      <c r="K757" s="2" t="s">
        <v>24</v>
      </c>
      <c r="L757" s="1" t="s">
        <v>931</v>
      </c>
      <c r="M757" s="2">
        <v>130355</v>
      </c>
      <c r="N757" s="2" t="s">
        <v>26</v>
      </c>
      <c r="O757" s="2">
        <v>5580360.2000000002</v>
      </c>
      <c r="P757" s="1" t="s">
        <v>27</v>
      </c>
    </row>
    <row r="758" spans="1:16" outlineLevel="2">
      <c r="A758" s="1" t="s">
        <v>1331</v>
      </c>
      <c r="B758" s="1" t="s">
        <v>1332</v>
      </c>
      <c r="C758" s="1" t="s">
        <v>511</v>
      </c>
      <c r="D758" s="2">
        <v>4472699.8099999996</v>
      </c>
      <c r="E758" s="1" t="s">
        <v>1340</v>
      </c>
      <c r="F758" s="3">
        <v>46234</v>
      </c>
      <c r="G758" s="4">
        <v>890800788</v>
      </c>
      <c r="H758" s="1" t="s">
        <v>795</v>
      </c>
      <c r="I758" s="1" t="s">
        <v>796</v>
      </c>
      <c r="J758" s="1" t="s">
        <v>23</v>
      </c>
      <c r="K758" s="2" t="s">
        <v>24</v>
      </c>
      <c r="L758" s="1" t="s">
        <v>931</v>
      </c>
      <c r="M758" s="2">
        <v>135514</v>
      </c>
      <c r="N758" s="2" t="s">
        <v>26</v>
      </c>
      <c r="O758" s="2">
        <v>5715874.2000000002</v>
      </c>
      <c r="P758" s="1" t="s">
        <v>27</v>
      </c>
    </row>
    <row r="759" spans="1:16" outlineLevel="2">
      <c r="A759" s="1" t="s">
        <v>1331</v>
      </c>
      <c r="B759" s="1" t="s">
        <v>1332</v>
      </c>
      <c r="C759" s="1" t="s">
        <v>511</v>
      </c>
      <c r="D759" s="2">
        <v>4472699.8099999996</v>
      </c>
      <c r="E759" s="1" t="s">
        <v>1341</v>
      </c>
      <c r="F759" s="3">
        <v>46234</v>
      </c>
      <c r="G759" s="4">
        <v>32622761</v>
      </c>
      <c r="H759" s="1" t="s">
        <v>800</v>
      </c>
      <c r="I759" s="1" t="s">
        <v>801</v>
      </c>
      <c r="J759" s="1" t="s">
        <v>23</v>
      </c>
      <c r="K759" s="2" t="s">
        <v>24</v>
      </c>
      <c r="L759" s="1" t="s">
        <v>931</v>
      </c>
      <c r="M759" s="2">
        <v>26890.76</v>
      </c>
      <c r="N759" s="2" t="s">
        <v>26</v>
      </c>
      <c r="O759" s="2">
        <v>5742764.96</v>
      </c>
      <c r="P759" s="1" t="s">
        <v>27</v>
      </c>
    </row>
    <row r="760" spans="1:16" outlineLevel="2">
      <c r="A760" s="1" t="s">
        <v>1331</v>
      </c>
      <c r="B760" s="1" t="s">
        <v>1332</v>
      </c>
      <c r="C760" s="1" t="s">
        <v>511</v>
      </c>
      <c r="D760" s="2">
        <v>4472699.8099999996</v>
      </c>
      <c r="E760" s="1" t="s">
        <v>1342</v>
      </c>
      <c r="F760" s="3">
        <v>46234</v>
      </c>
      <c r="G760" s="4">
        <v>72257318</v>
      </c>
      <c r="H760" s="1" t="s">
        <v>204</v>
      </c>
      <c r="I760" s="1" t="s">
        <v>1343</v>
      </c>
      <c r="J760" s="1" t="s">
        <v>23</v>
      </c>
      <c r="K760" s="2" t="s">
        <v>24</v>
      </c>
      <c r="L760" s="1" t="s">
        <v>931</v>
      </c>
      <c r="M760" s="2">
        <v>82920</v>
      </c>
      <c r="N760" s="2" t="s">
        <v>26</v>
      </c>
      <c r="O760" s="2">
        <v>5825684.96</v>
      </c>
      <c r="P760" s="1" t="s">
        <v>27</v>
      </c>
    </row>
    <row r="761" spans="1:16" outlineLevel="2">
      <c r="A761" s="1" t="s">
        <v>1331</v>
      </c>
      <c r="B761" s="1" t="s">
        <v>1332</v>
      </c>
      <c r="C761" s="1" t="s">
        <v>511</v>
      </c>
      <c r="D761" s="2">
        <v>4472699.8099999996</v>
      </c>
      <c r="E761" s="1" t="s">
        <v>1344</v>
      </c>
      <c r="F761" s="3">
        <v>46234</v>
      </c>
      <c r="G761" s="4">
        <v>72257318</v>
      </c>
      <c r="H761" s="1" t="s">
        <v>204</v>
      </c>
      <c r="I761" s="1" t="s">
        <v>1345</v>
      </c>
      <c r="J761" s="1" t="s">
        <v>23</v>
      </c>
      <c r="K761" s="2" t="s">
        <v>24</v>
      </c>
      <c r="L761" s="1" t="s">
        <v>931</v>
      </c>
      <c r="M761" s="2">
        <v>77461</v>
      </c>
      <c r="N761" s="2" t="s">
        <v>26</v>
      </c>
      <c r="O761" s="2">
        <v>5903145.96</v>
      </c>
      <c r="P761" s="1" t="s">
        <v>27</v>
      </c>
    </row>
    <row r="762" spans="1:16" outlineLevel="1">
      <c r="A762" s="13" t="s">
        <v>1514</v>
      </c>
      <c r="M762" s="2">
        <f>SUBTOTAL(9,M751:M761)</f>
        <v>1430446.1500000001</v>
      </c>
      <c r="N762" s="2">
        <f>SUBTOTAL(9,N751:N761)</f>
        <v>0</v>
      </c>
    </row>
    <row r="763" spans="1:16" outlineLevel="2">
      <c r="A763" s="1" t="s">
        <v>1346</v>
      </c>
      <c r="B763" s="1" t="s">
        <v>1347</v>
      </c>
      <c r="C763" s="1" t="s">
        <v>1348</v>
      </c>
      <c r="D763" s="2">
        <v>3156619</v>
      </c>
      <c r="E763" s="1" t="s">
        <v>18</v>
      </c>
      <c r="F763" s="3" t="s">
        <v>19</v>
      </c>
      <c r="G763" s="4" t="s">
        <v>20</v>
      </c>
      <c r="H763" s="1" t="s">
        <v>21</v>
      </c>
      <c r="I763" s="1" t="s">
        <v>22</v>
      </c>
      <c r="J763" s="1" t="s">
        <v>23</v>
      </c>
      <c r="K763" s="2" t="s">
        <v>24</v>
      </c>
      <c r="L763" s="1" t="s">
        <v>25</v>
      </c>
      <c r="M763" s="2" t="s">
        <v>26</v>
      </c>
      <c r="N763" s="2" t="s">
        <v>26</v>
      </c>
      <c r="O763" s="2">
        <v>3156619</v>
      </c>
      <c r="P763" s="1" t="s">
        <v>27</v>
      </c>
    </row>
    <row r="764" spans="1:16" outlineLevel="1">
      <c r="A764" s="13" t="s">
        <v>1515</v>
      </c>
      <c r="M764" s="2">
        <f>SUBTOTAL(9,M763:M763)</f>
        <v>0</v>
      </c>
      <c r="N764" s="2">
        <f>SUBTOTAL(9,N763:N763)</f>
        <v>0</v>
      </c>
    </row>
    <row r="765" spans="1:16">
      <c r="A765" s="13" t="s">
        <v>1516</v>
      </c>
      <c r="M765" s="2">
        <f>SUBTOTAL(9,M8:M763)</f>
        <v>394510725.49999988</v>
      </c>
      <c r="N765" s="2">
        <f>SUBTOTAL(9,N8:N763)</f>
        <v>394510725.5</v>
      </c>
    </row>
  </sheetData>
  <mergeCells count="4">
    <mergeCell ref="A5:P5"/>
    <mergeCell ref="A3:P3"/>
    <mergeCell ref="A2:P2"/>
    <mergeCell ref="A1:O1"/>
  </mergeCells>
  <pageMargins left="0.75" right="0.75" top="1" bottom="1" header="0.5" footer="0.5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auxiliar.sena</dc:creator>
  <cp:lastModifiedBy>Andres Bernal</cp:lastModifiedBy>
  <dcterms:created xsi:type="dcterms:W3CDTF">2026-08-06T20:13:07Z</dcterms:created>
  <dcterms:modified xsi:type="dcterms:W3CDTF">2026-08-23T21:18:24Z</dcterms:modified>
</cp:coreProperties>
</file>